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Downloads\"/>
    </mc:Choice>
  </mc:AlternateContent>
  <xr:revisionPtr revIDLastSave="0" documentId="13_ncr:1_{98F0D224-4770-4EEC-AF51-64E7B8BD9F30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Dashboard" sheetId="1" r:id="rId1"/>
    <sheet name="Placas-mãe" sheetId="2" r:id="rId2"/>
    <sheet name="Placas de vídeo" sheetId="3" r:id="rId3"/>
    <sheet name="Processadores" sheetId="4" r:id="rId4"/>
    <sheet name="Memórias" sheetId="5" r:id="rId5"/>
    <sheet name="Histórico de testes" sheetId="6" r:id="rId6"/>
    <sheet name="Índice de fotos" sheetId="7" r:id="rId7"/>
    <sheet name="Equipamentos" sheetId="8" r:id="rId8"/>
    <sheet name="Guia" sheetId="9" r:id="rId9"/>
    <sheet name="Lista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E7" i="1" s="1"/>
  <c r="B8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<sst xmlns="http://schemas.openxmlformats.org/spreadsheetml/2006/main" count="756" uniqueCount="430">
  <si>
    <t>CATÁLOGO TÉCNICO — COLEÇÃO DE HARDWARE</t>
  </si>
  <si>
    <t>Imagem</t>
  </si>
  <si>
    <t>Manual</t>
  </si>
  <si>
    <t>Indicador</t>
  </si>
  <si>
    <t>Valor</t>
  </si>
  <si>
    <t>Estado das placas-mãe</t>
  </si>
  <si>
    <t>Quantidade</t>
  </si>
  <si>
    <t>Placas-mãe cadastradas</t>
  </si>
  <si>
    <t>Funcionando</t>
  </si>
  <si>
    <t>Placas de vídeo cadastradas</t>
  </si>
  <si>
    <t>Liga, sem vídeo</t>
  </si>
  <si>
    <t>Processadores identificados</t>
  </si>
  <si>
    <t>Não testada</t>
  </si>
  <si>
    <t>Módulos de memória identificados</t>
  </si>
  <si>
    <t>Outros</t>
  </si>
  <si>
    <t>Itens funcionando/detectados</t>
  </si>
  <si>
    <t>Total</t>
  </si>
  <si>
    <t>Escopo e confiabilidade</t>
  </si>
  <si>
    <t>Fonte principal</t>
  </si>
  <si>
    <t>Documento “Anexos enviados – Cadastro de Hardware”, com 36 imagens.</t>
  </si>
  <si>
    <t>Dados detalhados confirmados</t>
  </si>
  <si>
    <t>Dell OptiPlex 380; Dell OptiPlex 745; XFX GeForce 7300 LE; XFX Radeon HD 4350; ASUS P4S800D-X em fotos físicas.</t>
  </si>
  <si>
    <t>Dados de cadastro anterior</t>
  </si>
  <si>
    <t>ECS G41T-M7 (duas unidades), Lenovo L-A780, ACC1800N-2C1P e CCE NM70-I.</t>
  </si>
  <si>
    <t>Regra adotada</t>
  </si>
  <si>
    <t>Campos sem evidência visual ou registro anterior confiável foram marcados como “Não confirmado”; nenhuma lacuna foi preenchida por suposição.</t>
  </si>
  <si>
    <t>Atualização</t>
  </si>
  <si>
    <t>Use as listas suspensas de estado e acrescente novos testes, componentes e referências de fotos nas abas correspondentes.</t>
  </si>
  <si>
    <t>PLACAS-MÃE — INVENTÁRIO TÉCNICO</t>
  </si>
  <si>
    <t>Código</t>
  </si>
  <si>
    <t>Fabricante</t>
  </si>
  <si>
    <t>Modelo</t>
  </si>
  <si>
    <t>Identificação/Revisão</t>
  </si>
  <si>
    <t>Formato</t>
  </si>
  <si>
    <t>Socket</t>
  </si>
  <si>
    <t>Chipset principal</t>
  </si>
  <si>
    <t>Southbridge</t>
  </si>
  <si>
    <t>Memória suportada</t>
  </si>
  <si>
    <t>Slots de memória</t>
  </si>
  <si>
    <t>Vídeo/expansão principal</t>
  </si>
  <si>
    <t>Outros slots</t>
  </si>
  <si>
    <t>Armazenamento</t>
  </si>
  <si>
    <t>CPU instalada</t>
  </si>
  <si>
    <t>RAM instalada</t>
  </si>
  <si>
    <t>BIOS</t>
  </si>
  <si>
    <t>Data BIOS</t>
  </si>
  <si>
    <t>Sistema testado</t>
  </si>
  <si>
    <t>Estado</t>
  </si>
  <si>
    <t>Detalhamento técnico / observações</t>
  </si>
  <si>
    <t>Fonte</t>
  </si>
  <si>
    <t>MB-001</t>
  </si>
  <si>
    <t>ASUS</t>
  </si>
  <si>
    <t>P4S800D-X</t>
  </si>
  <si>
    <t>—</t>
  </si>
  <si>
    <t>ATX</t>
  </si>
  <si>
    <t>Socket 478</t>
  </si>
  <si>
    <t>SiS 648FX</t>
  </si>
  <si>
    <t>SiS 964</t>
  </si>
  <si>
    <t>DDR</t>
  </si>
  <si>
    <t>4 DIMM</t>
  </si>
  <si>
    <t>AGP 8x</t>
  </si>
  <si>
    <t>5 PCI</t>
  </si>
  <si>
    <t>IDE/SATA</t>
  </si>
  <si>
    <t>Não confirmado</t>
  </si>
  <si>
    <t>Fotos físicas: anexos 1–3; chipset SiS 964 visível no anexo 2.</t>
  </si>
  <si>
    <t>Anexos 1–3</t>
  </si>
  <si>
    <t>MB-002</t>
  </si>
  <si>
    <t>ECS</t>
  </si>
  <si>
    <t>G41T-M7 V1.0</t>
  </si>
  <si>
    <t>1ª unidade</t>
  </si>
  <si>
    <t>microATX</t>
  </si>
  <si>
    <t>LGA775</t>
  </si>
  <si>
    <t>Intel G41</t>
  </si>
  <si>
    <t>ICH7</t>
  </si>
  <si>
    <t>DDR3</t>
  </si>
  <si>
    <t>2 DIMM</t>
  </si>
  <si>
    <t>PCIe x16</t>
  </si>
  <si>
    <t>PCI/PCIe</t>
  </si>
  <si>
    <t>SATA</t>
  </si>
  <si>
    <t>Intel Core 2 Duo E8400</t>
  </si>
  <si>
    <t>4 GB DDR3</t>
  </si>
  <si>
    <t>Cadastro anterior do projeto; fotos/HWiNFO detalhado não aparecem no documento recebido.</t>
  </si>
  <si>
    <t>Cadastro anterior</t>
  </si>
  <si>
    <t>MB-003</t>
  </si>
  <si>
    <t>2ª unidade</t>
  </si>
  <si>
    <t>Segunda unidade física; não deve ser confundida com a MB-002.</t>
  </si>
  <si>
    <t>MB-004</t>
  </si>
  <si>
    <t>Dell</t>
  </si>
  <si>
    <t>OptiPlex 380</t>
  </si>
  <si>
    <t>DP/N 0HN7XN</t>
  </si>
  <si>
    <t>Proprietário Dell</t>
  </si>
  <si>
    <t>Intel G41 (Eaglelake)</t>
  </si>
  <si>
    <t>PCIe 2.0 x16</t>
  </si>
  <si>
    <t>2 PCI + PCIe x1</t>
  </si>
  <si>
    <t>Intel Core 2 Duo E7500</t>
  </si>
  <si>
    <t>4 GB DDR3 dual-channel</t>
  </si>
  <si>
    <t>A05</t>
  </si>
  <si>
    <t>24/02/2011</t>
  </si>
  <si>
    <t>Windows 11 Enterprise x64 22H2, build 22621.1483</t>
  </si>
  <si>
    <t>HWiNFO: CPU E7500, 45 nm, stepping R0, Wolfdale-M, SSPEC SLGTE, 2c/2t, 2,93 GHz, L2 3 MB, TDP 65 W. Memória Micron 8JTF25664AZ-1G4D1, 2 GB por módulo, DDR3-1332/PC3-10700, 1,50 V. GPU integrada Intel GMA 4500.</t>
  </si>
  <si>
    <t>Anexos 4–8 e 9–14</t>
  </si>
  <si>
    <t>MB-005</t>
  </si>
  <si>
    <t>Lenovo</t>
  </si>
  <si>
    <t>L-A780 Rev.1 / M2RS780MH</t>
  </si>
  <si>
    <t>Rev.1</t>
  </si>
  <si>
    <t>AM2/AM2+</t>
  </si>
  <si>
    <t>AMD RS780</t>
  </si>
  <si>
    <t>SB700</t>
  </si>
  <si>
    <t>DDR2</t>
  </si>
  <si>
    <t>Cadastro anterior do projeto; sem HWiNFO identificável no documento recebido.</t>
  </si>
  <si>
    <t>MB-006</t>
  </si>
  <si>
    <t>ACC</t>
  </si>
  <si>
    <t>ACC1800N-2C1P</t>
  </si>
  <si>
    <t>Mini-ITX</t>
  </si>
  <si>
    <t>BGA integrado</t>
  </si>
  <si>
    <t>Intel Bay Trail-D</t>
  </si>
  <si>
    <t>Integrado</t>
  </si>
  <si>
    <t>DDR3L</t>
  </si>
  <si>
    <t>PCIe/mini PCIe conforme placa</t>
  </si>
  <si>
    <t>Intel Celeron J1800</t>
  </si>
  <si>
    <t>4 GB Kingston DDR3L</t>
  </si>
  <si>
    <t>F2 AZ</t>
  </si>
  <si>
    <t>06/03/2015</t>
  </si>
  <si>
    <t>Windows 10 Enterprise</t>
  </si>
  <si>
    <t>Cadastro anterior do projeto; CPU integrada à placa.</t>
  </si>
  <si>
    <t>MB-007</t>
  </si>
  <si>
    <t>CCE</t>
  </si>
  <si>
    <t>NM70-I V1.0</t>
  </si>
  <si>
    <t>V1.0</t>
  </si>
  <si>
    <t>Intel NM70</t>
  </si>
  <si>
    <t>PCIe conforme placa</t>
  </si>
  <si>
    <t>Intel Celeron 847</t>
  </si>
  <si>
    <t>UEFI</t>
  </si>
  <si>
    <t>30/11/2012</t>
  </si>
  <si>
    <t>MB-008</t>
  </si>
  <si>
    <t>OptiPlex 745</t>
  </si>
  <si>
    <t>0KT234 A01 / PCB DP/N UX762</t>
  </si>
  <si>
    <t>Intel Q965 (Broadwater-GC) rev. C1</t>
  </si>
  <si>
    <t>ICH8/R rev. B0</t>
  </si>
  <si>
    <t>PCIe 1.0 x16</t>
  </si>
  <si>
    <t>2 PCI + PCIe</t>
  </si>
  <si>
    <t>Intel Pentium Dual-Core E2160</t>
  </si>
  <si>
    <t>2 GB DDR2</t>
  </si>
  <si>
    <t>2.3.1</t>
  </si>
  <si>
    <t>21/05/2007</t>
  </si>
  <si>
    <t>Windows 10 Enterprise x64, build 19041.4713</t>
  </si>
  <si>
    <t>CPU E2160: Conroe-1M, stepping M0, SSPEC SLA8Z, 65 nm, 2c/2t, 1,80 GHz, FSB 800, L2 1 MB, TDP 65 W. RAM: Samsung M3 78T2953EZ3-CE6 1 GB PC2-5300 + Smart Modular SG564288FG8N6KF-Z1 1 GB PC2-6400. Vídeo integrado Intel GMA 3000. Placa física também mostra DP/N BR-0CT103-48105-76G-0770 Rev. A04 em outra etiqueta; manter ambas as identificações até reconciliação física.</t>
  </si>
  <si>
    <t>Anexos 15–30</t>
  </si>
  <si>
    <t>PLACAS DE VÍDEO — INVENTÁRIO TÉCNICO</t>
  </si>
  <si>
    <t>Fabricante da placa</t>
  </si>
  <si>
    <t>Fabricante GPU</t>
  </si>
  <si>
    <t>Codinome</t>
  </si>
  <si>
    <t>Revisão</t>
  </si>
  <si>
    <t>Litografia</t>
  </si>
  <si>
    <t>Interface</t>
  </si>
  <si>
    <t>Memória</t>
  </si>
  <si>
    <t>Tipo memória</t>
  </si>
  <si>
    <t>Barramento memória</t>
  </si>
  <si>
    <t>Clock GPU</t>
  </si>
  <si>
    <t>Clock memória</t>
  </si>
  <si>
    <t>ROPs</t>
  </si>
  <si>
    <t>TMUs</t>
  </si>
  <si>
    <t>Shaders</t>
  </si>
  <si>
    <t>ReBAR</t>
  </si>
  <si>
    <t>PCI ID</t>
  </si>
  <si>
    <t>Saídas</t>
  </si>
  <si>
    <t>Tipo</t>
  </si>
  <si>
    <t>Observações</t>
  </si>
  <si>
    <t>VG-001</t>
  </si>
  <si>
    <t>XFX Pine Group Inc.</t>
  </si>
  <si>
    <t>GeForce 7300 LE</t>
  </si>
  <si>
    <t>NVIDIA</t>
  </si>
  <si>
    <t>G72</t>
  </si>
  <si>
    <t>B1 / chipset A1</t>
  </si>
  <si>
    <t>90 nm</t>
  </si>
  <si>
    <t>PCIe 1.1 x16 (2,5 GT/s), operando x16</t>
  </si>
  <si>
    <t>256 MB</t>
  </si>
  <si>
    <t>DDR2 SDRAM</t>
  </si>
  <si>
    <t>64-bit</t>
  </si>
  <si>
    <t>199,3 MHz</t>
  </si>
  <si>
    <t>168,8 MHz (337,5 MHz efetivos)</t>
  </si>
  <si>
    <t>4</t>
  </si>
  <si>
    <t>3 vertex shaders</t>
  </si>
  <si>
    <t>Não suportado</t>
  </si>
  <si>
    <t>PCIVEN_10DE&amp;DEV_01D1</t>
  </si>
  <si>
    <t>VGA + DVI (conforme cadastro/fotos anteriores)</t>
  </si>
  <si>
    <t>Discreta</t>
  </si>
  <si>
    <t>Funcionando / detectada</t>
  </si>
  <si>
    <t>Testada no Dell OptiPlex 745 com Windows 10 Enterprise; fabricante da placa XFX.</t>
  </si>
  <si>
    <t>Anexos 31–33</t>
  </si>
  <si>
    <t>VG-002</t>
  </si>
  <si>
    <t>Radeon HD 4350</t>
  </si>
  <si>
    <t>AMD/ATI</t>
  </si>
  <si>
    <t>RV710 / Luigi</t>
  </si>
  <si>
    <t>55 nm</t>
  </si>
  <si>
    <t>PCIe 2.0 x16 (5,0 GT/s), operando x16 a 2,5 GT/s</t>
  </si>
  <si>
    <t>1 GB</t>
  </si>
  <si>
    <t>DDR2 SDRAM (Samsung indicado parcialmente)</t>
  </si>
  <si>
    <t>599,1 MHz</t>
  </si>
  <si>
    <t>396,0 MHz (792,0 MHz efetivos)</t>
  </si>
  <si>
    <t>2</t>
  </si>
  <si>
    <t>8</t>
  </si>
  <si>
    <t>80 unified shaders</t>
  </si>
  <si>
    <t>PCIVEN_1002&amp;DEV_954F</t>
  </si>
  <si>
    <t>VBIOS 011.021.000.007.000000; testada no Windows 10 Enterprise.</t>
  </si>
  <si>
    <t>Anexos 34–36</t>
  </si>
  <si>
    <t>PROCESSADORES — INVENTÁRIO TÉCNICO</t>
  </si>
  <si>
    <t>Stepping</t>
  </si>
  <si>
    <t>SSPEC</t>
  </si>
  <si>
    <t>Núcleos</t>
  </si>
  <si>
    <t>Threads</t>
  </si>
  <si>
    <t>Clock base</t>
  </si>
  <si>
    <t>FSB/Barramento</t>
  </si>
  <si>
    <t>Multiplicador</t>
  </si>
  <si>
    <t>Cache L2</t>
  </si>
  <si>
    <t>TDP</t>
  </si>
  <si>
    <t>Instruções/recursos observados</t>
  </si>
  <si>
    <t>Placa associada</t>
  </si>
  <si>
    <t>CPU-001</t>
  </si>
  <si>
    <t>Intel</t>
  </si>
  <si>
    <t>Core 2 Duo E7500</t>
  </si>
  <si>
    <t>Wolfdale-M</t>
  </si>
  <si>
    <t>45 nm</t>
  </si>
  <si>
    <t>R0</t>
  </si>
  <si>
    <t>SLGTE</t>
  </si>
  <si>
    <t>2,93 GHz</t>
  </si>
  <si>
    <t>266,7 MHz</t>
  </si>
  <si>
    <t>x11</t>
  </si>
  <si>
    <t>3 MB</t>
  </si>
  <si>
    <t>65 W</t>
  </si>
  <si>
    <t>EM64T, EIST, MMX, SSE, SSE2, SSE3, SSSE3, SSE4.1, DEP, VMX</t>
  </si>
  <si>
    <t>CPU-002</t>
  </si>
  <si>
    <t>Pentium Dual-Core E2160</t>
  </si>
  <si>
    <t>Conroe-1M</t>
  </si>
  <si>
    <t>65 nm</t>
  </si>
  <si>
    <t>M0</t>
  </si>
  <si>
    <t>SLA8Z</t>
  </si>
  <si>
    <t>1,80 GHz</t>
  </si>
  <si>
    <t>200 MHz</t>
  </si>
  <si>
    <t>x9</t>
  </si>
  <si>
    <t>1 MB</t>
  </si>
  <si>
    <t>EM64T, EIST, MMX, SSE, SSE2, SSE3, SSSE3, DEP</t>
  </si>
  <si>
    <t>CPU-003</t>
  </si>
  <si>
    <t>Core 2 Duo E8400</t>
  </si>
  <si>
    <t>Wolfdale</t>
  </si>
  <si>
    <t>3,00 GHz</t>
  </si>
  <si>
    <t>333 MHz</t>
  </si>
  <si>
    <t>6 MB</t>
  </si>
  <si>
    <t>CPU-004</t>
  </si>
  <si>
    <t>Celeron J1800</t>
  </si>
  <si>
    <t>Bay Trail-D</t>
  </si>
  <si>
    <t>BGA</t>
  </si>
  <si>
    <t>22 nm</t>
  </si>
  <si>
    <t>2,41 GHz base</t>
  </si>
  <si>
    <t>Não aplicável</t>
  </si>
  <si>
    <t>10 W</t>
  </si>
  <si>
    <t>CPU-005</t>
  </si>
  <si>
    <t>Celeron 847</t>
  </si>
  <si>
    <t>Sandy Bridge</t>
  </si>
  <si>
    <t>32 nm</t>
  </si>
  <si>
    <t>1,10 GHz</t>
  </si>
  <si>
    <t>2 MB</t>
  </si>
  <si>
    <t>17 W</t>
  </si>
  <si>
    <t>MEMÓRIAS — INVENTÁRIO TÉCNICO</t>
  </si>
  <si>
    <t>Part number</t>
  </si>
  <si>
    <t>Capacidade</t>
  </si>
  <si>
    <t>Classificação</t>
  </si>
  <si>
    <t>Clock nominal</t>
  </si>
  <si>
    <t>Tensão</t>
  </si>
  <si>
    <t>ECC</t>
  </si>
  <si>
    <t>Ranks</t>
  </si>
  <si>
    <t>Observações/SPD</t>
  </si>
  <si>
    <t>RAM-001</t>
  </si>
  <si>
    <t>Micron</t>
  </si>
  <si>
    <t>8JTF25664AZ-1G4D1</t>
  </si>
  <si>
    <t>2 GB</t>
  </si>
  <si>
    <t>DDR3 UDIMM</t>
  </si>
  <si>
    <t>PC3-10700 / DDR3-1332</t>
  </si>
  <si>
    <t>667 MHz</t>
  </si>
  <si>
    <t>1,50 V</t>
  </si>
  <si>
    <t>Não</t>
  </si>
  <si>
    <t>Módulo 1; timings JEDEC visíveis: 666,7 MHz 9-9-9-24; 533,3 MHz 7-7-7-20; 400 MHz 6-6-6-15; 333,3 MHz 5-5-5-12.</t>
  </si>
  <si>
    <t>RAM-002</t>
  </si>
  <si>
    <t>Módulo 2; sistema em dual-channel, total 4 GB.</t>
  </si>
  <si>
    <t>RAM-003</t>
  </si>
  <si>
    <t>Samsung</t>
  </si>
  <si>
    <t>M3 78T2953EZ3-CE6</t>
  </si>
  <si>
    <t>DDR2 UDIMM</t>
  </si>
  <si>
    <t>PC2-5300</t>
  </si>
  <si>
    <t>1,80 V</t>
  </si>
  <si>
    <t>2 ranks</t>
  </si>
  <si>
    <t>Semana/ano 08/08; serial 18013508; JEDEC 200/266/333 MHz, CL 3/4/5.</t>
  </si>
  <si>
    <t>RAM-004</t>
  </si>
  <si>
    <t>Smart Modular</t>
  </si>
  <si>
    <t>SG564288FG8N6KF-Z1</t>
  </si>
  <si>
    <t>PC2-6400</t>
  </si>
  <si>
    <t>400 MHz</t>
  </si>
  <si>
    <t>1 rank</t>
  </si>
  <si>
    <t>SPD mostra JEDEC 266/333/400 MHz, CL 4/5/6; serial FFFFFFFF; campo semana/ano inválido 165/165.</t>
  </si>
  <si>
    <t>RAM-005</t>
  </si>
  <si>
    <t>Kingston</t>
  </si>
  <si>
    <t>4 GB</t>
  </si>
  <si>
    <t>Cadastro anterior do projeto.</t>
  </si>
  <si>
    <t>RAM-006</t>
  </si>
  <si>
    <t>RAM-007</t>
  </si>
  <si>
    <t>HISTÓRICO DE TESTES E DIAGNÓSTICOS</t>
  </si>
  <si>
    <t>Código do teste</t>
  </si>
  <si>
    <t>Item</t>
  </si>
  <si>
    <t>Tipo de teste</t>
  </si>
  <si>
    <t>Condição/cenário</t>
  </si>
  <si>
    <t>Resultado</t>
  </si>
  <si>
    <t>Sistema/ambiente</t>
  </si>
  <si>
    <t>Conclusão</t>
  </si>
  <si>
    <t>TEST-001</t>
  </si>
  <si>
    <t>Teste funcional com HWiNFO 64 v8.46-5960</t>
  </si>
  <si>
    <t>Inicialização e identificação completa</t>
  </si>
  <si>
    <t>Aprovado</t>
  </si>
  <si>
    <t>Windows 11 Enterprise x64 22H2</t>
  </si>
  <si>
    <t>CPU, chipset, memória e vídeo integrado reconhecidos.</t>
  </si>
  <si>
    <t>Anexos 4–8</t>
  </si>
  <si>
    <t>TEST-002</t>
  </si>
  <si>
    <t>Teste funcional com HWiNFO 64 v8.46-5960 e CPU-Z 2.19.0 x64</t>
  </si>
  <si>
    <t>Windows 10 Enterprise x64</t>
  </si>
  <si>
    <t>CPU, chipset, BIOS, memória e vídeo integrado reconhecidos.</t>
  </si>
  <si>
    <t>Anexos 23–30</t>
  </si>
  <si>
    <t>TEST-003</t>
  </si>
  <si>
    <t>Teste de detecção da GPU</t>
  </si>
  <si>
    <t>Instalada no MB-008 / OptiPlex 745</t>
  </si>
  <si>
    <t>GeForce 7300 LE detectada em PCIe x16; clocks e memória reconhecidos.</t>
  </si>
  <si>
    <t>TEST-004</t>
  </si>
  <si>
    <t>Instalada em plataforma Windows 10</t>
  </si>
  <si>
    <t>Radeon HD 4350 detectada; VBIOS, clocks, barramento e shaders reconhecidos.</t>
  </si>
  <si>
    <t>TEST-005</t>
  </si>
  <si>
    <t>Teste de energização</t>
  </si>
  <si>
    <t>Placa liga, porém não apresenta vídeo</t>
  </si>
  <si>
    <t>Pendente diagnóstico</t>
  </si>
  <si>
    <t>Não informado</t>
  </si>
  <si>
    <t>Requer inspeção de RAM, CPU, BIOS, capacitores, alimentação e vídeo.</t>
  </si>
  <si>
    <t>ÍNDICE DOS ANEXOS FOTOGRÁFICOS</t>
  </si>
  <si>
    <t>Referência</t>
  </si>
  <si>
    <t>Equipamento</t>
  </si>
  <si>
    <t>Conteúdo das imagens</t>
  </si>
  <si>
    <t>ASUS P4S800D-X</t>
  </si>
  <si>
    <t>Vista geral, slots, chipset SiS 964 e layout físico.</t>
  </si>
  <si>
    <t>Dell OptiPlex 380</t>
  </si>
  <si>
    <t>HWiNFO: CPU, placa-mãe, memória, GPU integrada e sistema operacional.</t>
  </si>
  <si>
    <t>Anexos 9–14</t>
  </si>
  <si>
    <t>Fotos físicas, etiquetas, PCB, conectores e identificação DP/N 0HN7XN.</t>
  </si>
  <si>
    <t>Anexos 15–22</t>
  </si>
  <si>
    <t>Dell OptiPlex 745</t>
  </si>
  <si>
    <t>Fotos físicas, etiquetas, chipset NVIDIA auxiliar, socket, Super I/O e PCB DP/N UX762.</t>
  </si>
  <si>
    <t>HWiNFO/CPU-Z: CPU, chipset, BIOS, RAM, SPD e vídeo integrado.</t>
  </si>
  <si>
    <t>XFX GeForce 7300 LE</t>
  </si>
  <si>
    <t>CPU-Z/HWiNFO com identificação, clocks, barramento, memória e PCI ID.</t>
  </si>
  <si>
    <t>XFX Radeon HD 4350</t>
  </si>
  <si>
    <t>HWiNFO/CPU-Z com VBIOS, clocks, shaders, memória e PCI ID.</t>
  </si>
  <si>
    <t>VISÃO CONSOLIDADA DOS EQUIPAMENTOS</t>
  </si>
  <si>
    <t>Categoria</t>
  </si>
  <si>
    <t>Plataforma</t>
  </si>
  <si>
    <t>CPU/GPU principal</t>
  </si>
  <si>
    <t>Placa-mãe</t>
  </si>
  <si>
    <t>Socket 478 / SiS 648FX</t>
  </si>
  <si>
    <t>LGA775 / Intel G41</t>
  </si>
  <si>
    <t>LGA775 / Intel G41 (Eaglelake)</t>
  </si>
  <si>
    <t>AM2/AM2+ / AMD RS780</t>
  </si>
  <si>
    <t>BGA integrado / Intel Bay Trail-D</t>
  </si>
  <si>
    <t>BGA integrado / Intel NM70</t>
  </si>
  <si>
    <t>LGA775 / Intel Q965 (Broadwater-GC) rev. C1</t>
  </si>
  <si>
    <t>Placa de vídeo</t>
  </si>
  <si>
    <t>NVIDIA G72</t>
  </si>
  <si>
    <t>256 MB DDR2 SDRAM</t>
  </si>
  <si>
    <t>AMD/ATI RV710 / Luigi</t>
  </si>
  <si>
    <t>1 GB DDR2 SDRAM (Samsung indicado parcialmente)</t>
  </si>
  <si>
    <t>GUIA DE CADASTRO E PADRONIZAÇÃO</t>
  </si>
  <si>
    <t>Prefixo</t>
  </si>
  <si>
    <t>Exemplo</t>
  </si>
  <si>
    <t>Quando criar novo código</t>
  </si>
  <si>
    <t>Campos mínimos</t>
  </si>
  <si>
    <t>Observação</t>
  </si>
  <si>
    <t>MB</t>
  </si>
  <si>
    <t>MB-009</t>
  </si>
  <si>
    <t>Cada unidade física recebe código próprio, mesmo sendo modelo repetido.</t>
  </si>
  <si>
    <t>Fabricante, modelo, revisão, estado, fotos.</t>
  </si>
  <si>
    <t>Nunca reutilizar código de item baixado.</t>
  </si>
  <si>
    <t>VG</t>
  </si>
  <si>
    <t>VG-003</t>
  </si>
  <si>
    <t>Cada placa física recebe código próprio.</t>
  </si>
  <si>
    <t>Modelo, GPU, interface, memória, estado.</t>
  </si>
  <si>
    <t>Registrar perfil e saídas quando visíveis.</t>
  </si>
  <si>
    <t>Processador</t>
  </si>
  <si>
    <t>CPU</t>
  </si>
  <si>
    <t>CPU-006</t>
  </si>
  <si>
    <t>Quando o processador puder ser identificado individualmente.</t>
  </si>
  <si>
    <t>Modelo, socket/BGA, clock, placa associada.</t>
  </si>
  <si>
    <t>CPU soldada pode permanecer associada à placa.</t>
  </si>
  <si>
    <t>RAM</t>
  </si>
  <si>
    <t>RAM-008</t>
  </si>
  <si>
    <t>Cada módulo físico deve receber código próprio.</t>
  </si>
  <si>
    <t>Fabricante, capacidade, tipo, frequência, placa associada.</t>
  </si>
  <si>
    <t>Usar part number e serial quando disponíveis.</t>
  </si>
  <si>
    <t>Teste</t>
  </si>
  <si>
    <t>TEST</t>
  </si>
  <si>
    <t>TEST-006</t>
  </si>
  <si>
    <t>Cada sessão de diagnóstico ou validação relevante.</t>
  </si>
  <si>
    <t>Item, data, cenário, resultado e conclusão.</t>
  </si>
  <si>
    <t>Não sobrescrever testes anteriores.</t>
  </si>
  <si>
    <t>Valores padronizados</t>
  </si>
  <si>
    <t>Funcionando; Liga, sem vídeo; Não testada; Em diagnóstico; Necessita reparo; Baixada.</t>
  </si>
  <si>
    <t>Selecionar pelas listas suspensas.</t>
  </si>
  <si>
    <t>Fonte de evidência</t>
  </si>
  <si>
    <t>Indicar anexos, software ou cadastro anterior.</t>
  </si>
  <si>
    <t>Ex.: Anexos 31–33; HWiNFO; CPU-Z.</t>
  </si>
  <si>
    <t>Campos não comprovados devem ficar como “Não confirmado”.</t>
  </si>
  <si>
    <t>Fotos</t>
  </si>
  <si>
    <t>Registrar referência de anexos ou caminho futuro.</t>
  </si>
  <si>
    <t>Frente, verso, etiquetas, tela do HWiNFO/CPU-Z.</t>
  </si>
  <si>
    <t>O índice de fotos liga cada imagem ao item.</t>
  </si>
  <si>
    <t>Aquisição</t>
  </si>
  <si>
    <t>Preencher quando conhecido.</t>
  </si>
  <si>
    <t>Data, procedência, valor pago e localização física.</t>
  </si>
  <si>
    <t>Esses campos podem ser adicionados em versão futura sem alterar códigos.</t>
  </si>
  <si>
    <t>Estados</t>
  </si>
  <si>
    <t>Resultados de teste</t>
  </si>
  <si>
    <t>Reprovado</t>
  </si>
  <si>
    <t>Em diagnóstico</t>
  </si>
  <si>
    <t>Inconclusivo</t>
  </si>
  <si>
    <t>Necessita reparo</t>
  </si>
  <si>
    <t>Baixada</t>
  </si>
  <si>
    <t>MB-001.pdf</t>
  </si>
  <si>
    <t>MB-001.jpg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</si>
</sst>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/>
      <diagonal/>
    </border>
    <border>
      <left/>
      <right style="thin">
        <color rgb="FFB7C9D6"/>
      </right>
      <top/>
      <bottom/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/>
      <right/>
      <top style="thin">
        <color rgb="FFB7C9D6"/>
      </top>
      <bottom/>
      <diagonal/>
    </border>
    <border>
      <left/>
      <right/>
      <top/>
      <bottom style="thin">
        <color rgb="FFB7C9D6"/>
      </bottom>
      <diagonal/>
    </border>
    <border>
      <left/>
      <right/>
      <top style="thin">
        <color rgb="FFB7C9D6"/>
      </top>
      <bottom/>
      <diagonal/>
    </border>
    <border>
      <left/>
      <right/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</borders>
  <cellStyleXfs count="1">
    <xf numFmtId="0" fontId="0" fillId="0" borderId="1"/>
  </cellStyleXfs>
  <cellXfs count="38">
    <xf numFmtId="0" fontId="0" fillId="0" borderId="0" xfId="0" applyBorder="1"/>
    <xf numFmtId="0" fontId="2" fillId="3" borderId="0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/>
    <xf numFmtId="0" fontId="0" fillId="0" borderId="5" xfId="0" applyBorder="1"/>
    <xf numFmtId="0" fontId="3" fillId="4" borderId="6" xfId="0" applyFont="1" applyFill="1" applyBorder="1"/>
    <xf numFmtId="0" fontId="0" fillId="0" borderId="7" xfId="0" applyBorder="1"/>
    <xf numFmtId="0" fontId="0" fillId="0" borderId="0" xfId="0" applyBorder="1"/>
    <xf numFmtId="0" fontId="3" fillId="4" borderId="4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5" xfId="0" applyBorder="1" applyAlignment="1">
      <alignment wrapText="1"/>
    </xf>
    <xf numFmtId="0" fontId="3" fillId="4" borderId="6" xfId="0" applyFont="1" applyFill="1" applyBorder="1" applyAlignment="1">
      <alignment wrapText="1"/>
    </xf>
    <xf numFmtId="0" fontId="0" fillId="0" borderId="12" xfId="0" applyBorder="1" applyAlignment="1">
      <alignment wrapText="1"/>
    </xf>
    <xf numFmtId="0" fontId="0" fillId="0" borderId="7" xfId="0" applyBorder="1" applyAlignment="1">
      <alignment wrapText="1"/>
    </xf>
    <xf numFmtId="0" fontId="2" fillId="3" borderId="11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11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4" fillId="0" borderId="0" xfId="0" applyFont="1" applyBorder="1"/>
    <xf numFmtId="0" fontId="0" fillId="0" borderId="9" xfId="0" applyBorder="1" applyAlignment="1">
      <alignment wrapText="1"/>
    </xf>
    <xf numFmtId="0" fontId="0" fillId="0" borderId="1" xfId="0"/>
    <xf numFmtId="0" fontId="0" fillId="0" borderId="9" xfId="0" applyBorder="1"/>
    <xf numFmtId="0" fontId="0" fillId="0" borderId="10" xfId="0" applyBorder="1" applyAlignment="1">
      <alignment wrapText="1"/>
    </xf>
    <xf numFmtId="0" fontId="0" fillId="0" borderId="14" xfId="0" applyBorder="1"/>
    <xf numFmtId="0" fontId="0" fillId="0" borderId="10" xfId="0" applyBorder="1"/>
    <xf numFmtId="0" fontId="1" fillId="2" borderId="15" xfId="0" applyFont="1" applyFill="1" applyBorder="1" applyAlignment="1">
      <alignment horizontal="left" vertical="center" wrapText="1"/>
    </xf>
    <xf numFmtId="0" fontId="0" fillId="0" borderId="13" xfId="0" applyBorder="1"/>
    <xf numFmtId="0" fontId="0" fillId="0" borderId="8" xfId="0" applyBorder="1"/>
    <xf numFmtId="0" fontId="1" fillId="2" borderId="1" xfId="0" applyFont="1" applyFill="1" applyAlignment="1">
      <alignment horizontal="left" vertical="center"/>
    </xf>
  </cellXfs>
  <cellStyles count="1">
    <cellStyle name="Normal" xfId="0" builtinId="0"/>
  </cellStyles>
  <dxfs count="7">
    <dxf>
      <alignment horizontal="general" vertical="top" textRotation="0" wrapText="1" indent="0" justifyLastLine="0" shrinkToFit="0" readingOrder="0"/>
      <border diagonalUp="0" diagonalDown="0">
        <left style="thin">
          <color rgb="FFB7C9D6"/>
        </left>
        <right/>
        <top/>
        <bottom/>
        <vertical/>
        <horizontal/>
      </border>
    </dxf>
    <dxf>
      <fill>
        <patternFill patternType="solid">
          <bgColor rgb="FFFFE699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r>
              <a:rPr lang="pt-BR"/>
              <a:t>Situação das placas-mãe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Quantidade</c:v>
          </c:tx>
          <c:spPr>
            <a:ln>
              <a:prstDash val="solid"/>
            </a:ln>
          </c:spPr>
          <c:invertIfNegative val="1"/>
          <c:cat>
            <c:strRef>
              <c:f>Dashboard!$D$4:$D$6</c:f>
              <c:strCache>
                <c:ptCount val="3"/>
                <c:pt idx="0">
                  <c:v>Funcionando</c:v>
                </c:pt>
                <c:pt idx="1">
                  <c:v>Liga, sem vídeo</c:v>
                </c:pt>
                <c:pt idx="2">
                  <c:v>Não testada</c:v>
                </c:pt>
              </c:strCache>
            </c:strRef>
          </c:cat>
          <c:val>
            <c:numRef>
              <c:f>Dashboard!$E$4:$E$6</c:f>
              <c:numCache>
                <c:formatCode>General</c:formatCode>
                <c:ptCount val="3"/>
                <c:pt idx="0">
                  <c:v>5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C-4055-A7A2-8B8157C32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lacasMae" displayName="TblPlacasMae" ref="A3:W11">
  <tableColumns count="23">
    <tableColumn id="1" xr3:uid="{00000000-0010-0000-0000-000001000000}" name="Código"/>
    <tableColumn id="2" xr3:uid="{00000000-0010-0000-0000-000002000000}" name="Fabricante"/>
    <tableColumn id="3" xr3:uid="{00000000-0010-0000-0000-000003000000}" name="Modelo"/>
    <tableColumn id="4" xr3:uid="{00000000-0010-0000-0000-000004000000}" name="Identificação/Revisão"/>
    <tableColumn id="5" xr3:uid="{00000000-0010-0000-0000-000005000000}" name="Formato"/>
    <tableColumn id="6" xr3:uid="{00000000-0010-0000-0000-000006000000}" name="Socket"/>
    <tableColumn id="7" xr3:uid="{00000000-0010-0000-0000-000007000000}" name="Chipset principal"/>
    <tableColumn id="8" xr3:uid="{00000000-0010-0000-0000-000008000000}" name="Southbridge"/>
    <tableColumn id="9" xr3:uid="{00000000-0010-0000-0000-000009000000}" name="Memória suportada"/>
    <tableColumn id="10" xr3:uid="{00000000-0010-0000-0000-00000A000000}" name="Slots de memória"/>
    <tableColumn id="11" xr3:uid="{00000000-0010-0000-0000-00000B000000}" name="Vídeo/expansão principal"/>
    <tableColumn id="12" xr3:uid="{00000000-0010-0000-0000-00000C000000}" name="Outros slots"/>
    <tableColumn id="13" xr3:uid="{00000000-0010-0000-0000-00000D000000}" name="Armazenamento"/>
    <tableColumn id="14" xr3:uid="{00000000-0010-0000-0000-00000E000000}" name="CPU instalada"/>
    <tableColumn id="15" xr3:uid="{00000000-0010-0000-0000-00000F000000}" name="RAM instalada"/>
    <tableColumn id="16" xr3:uid="{00000000-0010-0000-0000-000010000000}" name="BIOS"/>
    <tableColumn id="17" xr3:uid="{00000000-0010-0000-0000-000011000000}" name="Data BIOS"/>
    <tableColumn id="18" xr3:uid="{00000000-0010-0000-0000-000012000000}" name="Sistema testado"/>
    <tableColumn id="19" xr3:uid="{00000000-0010-0000-0000-000013000000}" name="Estado"/>
    <tableColumn id="20" xr3:uid="{00000000-0010-0000-0000-000014000000}" name="Detalhamento técnico / observações"/>
    <tableColumn id="21" xr3:uid="{00000000-0010-0000-0000-000015000000}" name="Fonte"/>
    <tableColumn id="22" xr3:uid="{EB89903C-7087-4BCC-92F2-B6E508B6AB53}" name="Imagem" dataDxfId="0"/>
    <tableColumn id="23" xr3:uid="{A1BAC519-3869-44EB-BDDC-186A08792F6A}" name="Manu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GPUs" displayName="TblGPUs" ref="A3:W5">
  <tableColumns count="23">
    <tableColumn id="1" xr3:uid="{00000000-0010-0000-0100-000001000000}" name="Código"/>
    <tableColumn id="2" xr3:uid="{00000000-0010-0000-0100-000002000000}" name="Fabricante da placa"/>
    <tableColumn id="3" xr3:uid="{00000000-0010-0000-0100-000003000000}" name="Modelo"/>
    <tableColumn id="4" xr3:uid="{00000000-0010-0000-0100-000004000000}" name="Fabricante GPU"/>
    <tableColumn id="5" xr3:uid="{00000000-0010-0000-0100-000005000000}" name="Codinome"/>
    <tableColumn id="6" xr3:uid="{00000000-0010-0000-0100-000006000000}" name="Revisão"/>
    <tableColumn id="7" xr3:uid="{00000000-0010-0000-0100-000007000000}" name="Litografia"/>
    <tableColumn id="8" xr3:uid="{00000000-0010-0000-0100-000008000000}" name="Interface"/>
    <tableColumn id="9" xr3:uid="{00000000-0010-0000-0100-000009000000}" name="Memória"/>
    <tableColumn id="10" xr3:uid="{00000000-0010-0000-0100-00000A000000}" name="Tipo memória"/>
    <tableColumn id="11" xr3:uid="{00000000-0010-0000-0100-00000B000000}" name="Barramento memória"/>
    <tableColumn id="12" xr3:uid="{00000000-0010-0000-0100-00000C000000}" name="Clock GPU"/>
    <tableColumn id="13" xr3:uid="{00000000-0010-0000-0100-00000D000000}" name="Clock memória"/>
    <tableColumn id="14" xr3:uid="{00000000-0010-0000-0100-00000E000000}" name="ROPs"/>
    <tableColumn id="15" xr3:uid="{00000000-0010-0000-0100-00000F000000}" name="TMUs"/>
    <tableColumn id="16" xr3:uid="{00000000-0010-0000-0100-000010000000}" name="Shaders"/>
    <tableColumn id="17" xr3:uid="{00000000-0010-0000-0100-000011000000}" name="ReBAR"/>
    <tableColumn id="18" xr3:uid="{00000000-0010-0000-0100-000012000000}" name="PCI ID"/>
    <tableColumn id="19" xr3:uid="{00000000-0010-0000-0100-000013000000}" name="Saídas"/>
    <tableColumn id="20" xr3:uid="{00000000-0010-0000-0100-000014000000}" name="Tipo"/>
    <tableColumn id="21" xr3:uid="{00000000-0010-0000-0100-000015000000}" name="Estado"/>
    <tableColumn id="22" xr3:uid="{00000000-0010-0000-0100-000016000000}" name="Observações"/>
    <tableColumn id="23" xr3:uid="{00000000-0010-0000-0100-000017000000}" name="Fo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PUs" displayName="TblCPUs" ref="A3:R8">
  <tableColumns count="18">
    <tableColumn id="1" xr3:uid="{00000000-0010-0000-0200-000001000000}" name="Código"/>
    <tableColumn id="2" xr3:uid="{00000000-0010-0000-0200-000002000000}" name="Fabricante"/>
    <tableColumn id="3" xr3:uid="{00000000-0010-0000-0200-000003000000}" name="Modelo"/>
    <tableColumn id="4" xr3:uid="{00000000-0010-0000-0200-000004000000}" name="Codinome"/>
    <tableColumn id="5" xr3:uid="{00000000-0010-0000-0200-000005000000}" name="Socket"/>
    <tableColumn id="6" xr3:uid="{00000000-0010-0000-0200-000006000000}" name="Litografia"/>
    <tableColumn id="7" xr3:uid="{00000000-0010-0000-0200-000007000000}" name="Stepping"/>
    <tableColumn id="8" xr3:uid="{00000000-0010-0000-0200-000008000000}" name="SSPEC"/>
    <tableColumn id="9" xr3:uid="{00000000-0010-0000-0200-000009000000}" name="Núcleos"/>
    <tableColumn id="10" xr3:uid="{00000000-0010-0000-0200-00000A000000}" name="Threads"/>
    <tableColumn id="11" xr3:uid="{00000000-0010-0000-0200-00000B000000}" name="Clock base"/>
    <tableColumn id="12" xr3:uid="{00000000-0010-0000-0200-00000C000000}" name="FSB/Barramento"/>
    <tableColumn id="13" xr3:uid="{00000000-0010-0000-0200-00000D000000}" name="Multiplicador"/>
    <tableColumn id="14" xr3:uid="{00000000-0010-0000-0200-00000E000000}" name="Cache L2"/>
    <tableColumn id="15" xr3:uid="{00000000-0010-0000-0200-00000F000000}" name="TDP"/>
    <tableColumn id="16" xr3:uid="{00000000-0010-0000-0200-000010000000}" name="Instruções/recursos observados"/>
    <tableColumn id="17" xr3:uid="{00000000-0010-0000-0200-000011000000}" name="Placa associada"/>
    <tableColumn id="18" xr3:uid="{00000000-0010-0000-0200-000012000000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AM" displayName="TblRAM" ref="A3:L10">
  <tableColumns count="12">
    <tableColumn id="1" xr3:uid="{00000000-0010-0000-0300-000001000000}" name="Código"/>
    <tableColumn id="2" xr3:uid="{00000000-0010-0000-0300-000002000000}" name="Fabricante"/>
    <tableColumn id="3" xr3:uid="{00000000-0010-0000-0300-000003000000}" name="Part number"/>
    <tableColumn id="4" xr3:uid="{00000000-0010-0000-0300-000004000000}" name="Capacidade"/>
    <tableColumn id="5" xr3:uid="{00000000-0010-0000-0300-000005000000}" name="Tipo"/>
    <tableColumn id="6" xr3:uid="{00000000-0010-0000-0300-000006000000}" name="Classificação"/>
    <tableColumn id="7" xr3:uid="{00000000-0010-0000-0300-000007000000}" name="Clock nominal"/>
    <tableColumn id="8" xr3:uid="{00000000-0010-0000-0300-000008000000}" name="Tensão"/>
    <tableColumn id="9" xr3:uid="{00000000-0010-0000-0300-000009000000}" name="ECC"/>
    <tableColumn id="10" xr3:uid="{00000000-0010-0000-0300-00000A000000}" name="Ranks"/>
    <tableColumn id="11" xr3:uid="{00000000-0010-0000-0300-00000B000000}" name="Placa associada"/>
    <tableColumn id="12" xr3:uid="{00000000-0010-0000-0300-00000C000000}" name="Observações/SP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stes" displayName="TblTestes" ref="A3:H8">
  <tableColumns count="8">
    <tableColumn id="1" xr3:uid="{00000000-0010-0000-0400-000001000000}" name="Código do teste"/>
    <tableColumn id="2" xr3:uid="{00000000-0010-0000-0400-000002000000}" name="Item"/>
    <tableColumn id="3" xr3:uid="{00000000-0010-0000-0400-000003000000}" name="Tipo de teste"/>
    <tableColumn id="4" xr3:uid="{00000000-0010-0000-0400-000004000000}" name="Condição/cenário"/>
    <tableColumn id="5" xr3:uid="{00000000-0010-0000-0400-000005000000}" name="Resultado"/>
    <tableColumn id="6" xr3:uid="{00000000-0010-0000-0400-000006000000}" name="Sistema/ambiente"/>
    <tableColumn id="7" xr3:uid="{00000000-0010-0000-0400-000007000000}" name="Conclusão"/>
    <tableColumn id="8" xr3:uid="{00000000-0010-0000-0400-000008000000}" name="Fo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Fotos" displayName="TblFotos" ref="A3:D10">
  <tableColumns count="4">
    <tableColumn id="1" xr3:uid="{00000000-0010-0000-0500-000001000000}" name="Referência"/>
    <tableColumn id="2" xr3:uid="{00000000-0010-0000-0500-000002000000}" name="Item"/>
    <tableColumn id="3" xr3:uid="{00000000-0010-0000-0500-000003000000}" name="Equipamento"/>
    <tableColumn id="4" xr3:uid="{00000000-0010-0000-0500-000004000000}" name="Conteúdo das image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Equipamentos" displayName="TblEquipamentos" ref="A3:J13">
  <tableColumns count="10">
    <tableColumn id="1" xr3:uid="{00000000-0010-0000-0600-000001000000}" name="Código"/>
    <tableColumn id="2" xr3:uid="{00000000-0010-0000-0600-000002000000}" name="Categoria"/>
    <tableColumn id="3" xr3:uid="{00000000-0010-0000-0600-000003000000}" name="Fabricante"/>
    <tableColumn id="4" xr3:uid="{00000000-0010-0000-0600-000004000000}" name="Modelo"/>
    <tableColumn id="5" xr3:uid="{00000000-0010-0000-0600-000005000000}" name="Plataforma"/>
    <tableColumn id="6" xr3:uid="{00000000-0010-0000-0600-000006000000}" name="CPU/GPU principal"/>
    <tableColumn id="7" xr3:uid="{00000000-0010-0000-0600-000007000000}" name="Memória"/>
    <tableColumn id="8" xr3:uid="{00000000-0010-0000-0600-000008000000}" name="Estado"/>
    <tableColumn id="9" xr3:uid="{00000000-0010-0000-0600-000009000000}" name="Fonte"/>
    <tableColumn id="10" xr3:uid="{00000000-0010-0000-0600-00000A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workbookViewId="0">
      <selection sqref="A1:H1"/>
    </sheetView>
  </sheetViews>
  <sheetFormatPr defaultRowHeight="14.25"/>
  <cols>
    <col min="1" max="1" width="24" style="8" customWidth="1"/>
    <col min="2" max="8" width="16" style="8" customWidth="1"/>
  </cols>
  <sheetData>
    <row r="1" spans="1:10" ht="32.1" customHeight="1">
      <c r="A1" s="37" t="s">
        <v>0</v>
      </c>
      <c r="B1" s="29"/>
      <c r="C1" s="29"/>
      <c r="D1" s="29"/>
      <c r="E1" s="29"/>
      <c r="F1" s="29"/>
      <c r="G1" s="29"/>
      <c r="H1" s="29"/>
      <c r="I1" s="27" t="s">
        <v>1</v>
      </c>
      <c r="J1" s="27" t="s">
        <v>2</v>
      </c>
    </row>
    <row r="3" spans="1:10" ht="30">
      <c r="A3" s="2" t="s">
        <v>3</v>
      </c>
      <c r="B3" s="3" t="s">
        <v>4</v>
      </c>
      <c r="D3" s="2" t="s">
        <v>5</v>
      </c>
      <c r="E3" s="3" t="s">
        <v>6</v>
      </c>
    </row>
    <row r="4" spans="1:10" ht="15">
      <c r="A4" s="4" t="s">
        <v>7</v>
      </c>
      <c r="B4" s="5">
        <f>COUNTA('Placas-mãe'!A4:A100)</f>
        <v>8</v>
      </c>
      <c r="D4" s="4" t="s">
        <v>8</v>
      </c>
      <c r="E4" s="5">
        <f>COUNTIF('Placas-mãe'!S4:S100,"Funcionando")</f>
        <v>5</v>
      </c>
    </row>
    <row r="5" spans="1:10" ht="15">
      <c r="A5" s="4" t="s">
        <v>9</v>
      </c>
      <c r="B5" s="5">
        <f>COUNTA('Placas de vídeo'!A4:A100)</f>
        <v>2</v>
      </c>
      <c r="D5" s="4" t="s">
        <v>10</v>
      </c>
      <c r="E5" s="5">
        <f>COUNTIF('Placas-mãe'!S4:S100,"Liga, sem vídeo")</f>
        <v>1</v>
      </c>
    </row>
    <row r="6" spans="1:10" ht="15">
      <c r="A6" s="4" t="s">
        <v>11</v>
      </c>
      <c r="B6" s="5">
        <f>COUNTA(Processadores!A4:A100)</f>
        <v>5</v>
      </c>
      <c r="D6" s="4" t="s">
        <v>12</v>
      </c>
      <c r="E6" s="5">
        <f>COUNTIF('Placas-mãe'!S4:S100,"Não testada")</f>
        <v>2</v>
      </c>
    </row>
    <row r="7" spans="1:10" ht="15">
      <c r="A7" s="4" t="s">
        <v>13</v>
      </c>
      <c r="B7" s="5">
        <f>COUNTA(Memórias!A4:A100)</f>
        <v>7</v>
      </c>
      <c r="D7" s="4" t="s">
        <v>14</v>
      </c>
      <c r="E7" s="5">
        <f>E8-SUM(E4:E6)</f>
        <v>0</v>
      </c>
    </row>
    <row r="8" spans="1:10" ht="15">
      <c r="A8" s="6" t="s">
        <v>15</v>
      </c>
      <c r="B8" s="7">
        <f>COUNTIF('Placas-mãe'!S4:S100,"Funcionando")+COUNTA('Placas de vídeo'!A4:A100)</f>
        <v>7</v>
      </c>
      <c r="D8" s="6" t="s">
        <v>16</v>
      </c>
      <c r="E8" s="7">
        <f>COUNTA('Placas-mãe'!A4:A100)</f>
        <v>8</v>
      </c>
    </row>
    <row r="11" spans="1:10">
      <c r="A11" s="34" t="s">
        <v>17</v>
      </c>
      <c r="B11" s="35"/>
      <c r="C11" s="35"/>
      <c r="D11" s="35"/>
      <c r="E11" s="35"/>
      <c r="F11" s="35"/>
      <c r="G11" s="35"/>
      <c r="H11" s="36"/>
    </row>
    <row r="12" spans="1:10" ht="15">
      <c r="A12" s="9" t="s">
        <v>18</v>
      </c>
      <c r="B12" s="28" t="s">
        <v>19</v>
      </c>
      <c r="C12" s="29"/>
      <c r="D12" s="29"/>
      <c r="E12" s="29"/>
      <c r="F12" s="29"/>
      <c r="G12" s="29"/>
      <c r="H12" s="30"/>
    </row>
    <row r="13" spans="1:10" ht="30">
      <c r="A13" s="9" t="s">
        <v>20</v>
      </c>
      <c r="B13" s="28" t="s">
        <v>21</v>
      </c>
      <c r="C13" s="29"/>
      <c r="D13" s="29"/>
      <c r="E13" s="29"/>
      <c r="F13" s="29"/>
      <c r="G13" s="29"/>
      <c r="H13" s="30"/>
    </row>
    <row r="14" spans="1:10" ht="30">
      <c r="A14" s="9" t="s">
        <v>22</v>
      </c>
      <c r="B14" s="28" t="s">
        <v>23</v>
      </c>
      <c r="C14" s="29"/>
      <c r="D14" s="29"/>
      <c r="E14" s="29"/>
      <c r="F14" s="29"/>
      <c r="G14" s="29"/>
      <c r="H14" s="30"/>
    </row>
    <row r="15" spans="1:10" ht="15">
      <c r="A15" s="9" t="s">
        <v>24</v>
      </c>
      <c r="B15" s="28" t="s">
        <v>25</v>
      </c>
      <c r="C15" s="29"/>
      <c r="D15" s="29"/>
      <c r="E15" s="29"/>
      <c r="F15" s="29"/>
      <c r="G15" s="29"/>
      <c r="H15" s="30"/>
    </row>
    <row r="16" spans="1:10" ht="15">
      <c r="A16" s="12" t="s">
        <v>26</v>
      </c>
      <c r="B16" s="31" t="s">
        <v>27</v>
      </c>
      <c r="C16" s="32"/>
      <c r="D16" s="32"/>
      <c r="E16" s="32"/>
      <c r="F16" s="32"/>
      <c r="G16" s="32"/>
      <c r="H16" s="33"/>
    </row>
  </sheetData>
  <mergeCells count="7">
    <mergeCell ref="A1:H1"/>
    <mergeCell ref="B14:H14"/>
    <mergeCell ref="B13:H13"/>
    <mergeCell ref="B12:H12"/>
    <mergeCell ref="B16:H16"/>
    <mergeCell ref="A11:H11"/>
    <mergeCell ref="B15:H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"/>
  <sheetViews>
    <sheetView tabSelected="1" topLeftCell="R1" workbookViewId="0">
      <selection activeCell="V5" sqref="V5:V11"/>
    </sheetView>
  </sheetViews>
  <sheetFormatPr defaultRowHeight="14.25"/>
  <cols>
    <col min="1" max="1" width="11" style="8" customWidth="1"/>
    <col min="2" max="2" width="14" style="8" customWidth="1"/>
    <col min="3" max="3" width="24" style="8" customWidth="1"/>
    <col min="4" max="4" width="23" style="8" customWidth="1"/>
    <col min="5" max="6" width="15" style="8" customWidth="1"/>
    <col min="7" max="7" width="23" style="8" customWidth="1"/>
    <col min="8" max="8" width="18" style="8" customWidth="1"/>
    <col min="9" max="9" width="17" style="8" customWidth="1"/>
    <col min="10" max="10" width="15" style="8" customWidth="1"/>
    <col min="11" max="11" width="22" style="8" customWidth="1"/>
    <col min="12" max="12" width="18" style="8" customWidth="1"/>
    <col min="13" max="13" width="16" style="8" customWidth="1"/>
    <col min="14" max="14" width="24" style="8" customWidth="1"/>
    <col min="15" max="15" width="20" style="8" customWidth="1"/>
    <col min="16" max="16" width="12" style="8" customWidth="1"/>
    <col min="17" max="17" width="13" style="8" customWidth="1"/>
    <col min="18" max="18" width="27" style="8" customWidth="1"/>
    <col min="19" max="19" width="17" style="8" customWidth="1"/>
    <col min="20" max="20" width="58" style="8" customWidth="1"/>
    <col min="21" max="21" width="18" style="8" customWidth="1"/>
    <col min="22" max="22" width="10.75" customWidth="1"/>
    <col min="23" max="23" width="10.875" customWidth="1"/>
  </cols>
  <sheetData>
    <row r="1" spans="1:23" ht="27.95" customHeight="1">
      <c r="A1" s="37" t="s">
        <v>28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3" spans="1:23" ht="30">
      <c r="A3" s="18" t="s">
        <v>29</v>
      </c>
      <c r="B3" s="19" t="s">
        <v>30</v>
      </c>
      <c r="C3" s="19" t="s">
        <v>31</v>
      </c>
      <c r="D3" s="19" t="s">
        <v>32</v>
      </c>
      <c r="E3" s="19" t="s">
        <v>33</v>
      </c>
      <c r="F3" s="19" t="s">
        <v>34</v>
      </c>
      <c r="G3" s="19" t="s">
        <v>35</v>
      </c>
      <c r="H3" s="19" t="s">
        <v>36</v>
      </c>
      <c r="I3" s="19" t="s">
        <v>37</v>
      </c>
      <c r="J3" s="19" t="s">
        <v>38</v>
      </c>
      <c r="K3" s="19" t="s">
        <v>39</v>
      </c>
      <c r="L3" s="19" t="s">
        <v>40</v>
      </c>
      <c r="M3" s="19" t="s">
        <v>41</v>
      </c>
      <c r="N3" s="19" t="s">
        <v>42</v>
      </c>
      <c r="O3" s="19" t="s">
        <v>43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48</v>
      </c>
      <c r="U3" s="20" t="s">
        <v>49</v>
      </c>
      <c r="V3" s="20" t="s">
        <v>1</v>
      </c>
      <c r="W3" s="20" t="s">
        <v>2</v>
      </c>
    </row>
    <row r="4" spans="1:23" ht="28.5">
      <c r="A4" s="21" t="s">
        <v>50</v>
      </c>
      <c r="B4" s="22" t="s">
        <v>51</v>
      </c>
      <c r="C4" s="22" t="s">
        <v>52</v>
      </c>
      <c r="D4" s="22" t="s">
        <v>53</v>
      </c>
      <c r="E4" s="22" t="s">
        <v>54</v>
      </c>
      <c r="F4" s="22" t="s">
        <v>55</v>
      </c>
      <c r="G4" s="22" t="s">
        <v>56</v>
      </c>
      <c r="H4" s="22" t="s">
        <v>57</v>
      </c>
      <c r="I4" s="22" t="s">
        <v>58</v>
      </c>
      <c r="J4" s="22" t="s">
        <v>59</v>
      </c>
      <c r="K4" s="22" t="s">
        <v>60</v>
      </c>
      <c r="L4" s="22" t="s">
        <v>61</v>
      </c>
      <c r="M4" s="22" t="s">
        <v>62</v>
      </c>
      <c r="N4" s="22" t="s">
        <v>63</v>
      </c>
      <c r="O4" s="22" t="s">
        <v>63</v>
      </c>
      <c r="P4" s="22" t="s">
        <v>63</v>
      </c>
      <c r="Q4" s="22" t="s">
        <v>63</v>
      </c>
      <c r="R4" s="22" t="s">
        <v>63</v>
      </c>
      <c r="S4" s="22" t="s">
        <v>12</v>
      </c>
      <c r="T4" s="22" t="s">
        <v>64</v>
      </c>
      <c r="U4" s="23" t="s">
        <v>65</v>
      </c>
      <c r="V4" s="21" t="s">
        <v>429</v>
      </c>
      <c r="W4" s="21" t="s">
        <v>428</v>
      </c>
    </row>
    <row r="5" spans="1:23" ht="28.5">
      <c r="A5" s="21" t="s">
        <v>66</v>
      </c>
      <c r="B5" s="22" t="s">
        <v>67</v>
      </c>
      <c r="C5" s="22" t="s">
        <v>68</v>
      </c>
      <c r="D5" s="22" t="s">
        <v>69</v>
      </c>
      <c r="E5" s="22" t="s">
        <v>70</v>
      </c>
      <c r="F5" s="22" t="s">
        <v>71</v>
      </c>
      <c r="G5" s="22" t="s">
        <v>72</v>
      </c>
      <c r="H5" s="22" t="s">
        <v>73</v>
      </c>
      <c r="I5" s="22" t="s">
        <v>74</v>
      </c>
      <c r="J5" s="22" t="s">
        <v>75</v>
      </c>
      <c r="K5" s="22" t="s">
        <v>76</v>
      </c>
      <c r="L5" s="22" t="s">
        <v>77</v>
      </c>
      <c r="M5" s="22" t="s">
        <v>78</v>
      </c>
      <c r="N5" s="22" t="s">
        <v>79</v>
      </c>
      <c r="O5" s="22" t="s">
        <v>80</v>
      </c>
      <c r="P5" s="22" t="s">
        <v>63</v>
      </c>
      <c r="Q5" s="22" t="s">
        <v>63</v>
      </c>
      <c r="R5" s="22" t="s">
        <v>63</v>
      </c>
      <c r="S5" s="22" t="s">
        <v>8</v>
      </c>
      <c r="T5" s="22" t="s">
        <v>81</v>
      </c>
      <c r="U5" s="23" t="s">
        <v>82</v>
      </c>
      <c r="V5" s="21"/>
      <c r="W5" s="21"/>
    </row>
    <row r="6" spans="1:23" ht="28.5">
      <c r="A6" s="21" t="s">
        <v>83</v>
      </c>
      <c r="B6" s="22" t="s">
        <v>67</v>
      </c>
      <c r="C6" s="22" t="s">
        <v>68</v>
      </c>
      <c r="D6" s="22" t="s">
        <v>84</v>
      </c>
      <c r="E6" s="22" t="s">
        <v>70</v>
      </c>
      <c r="F6" s="22" t="s">
        <v>71</v>
      </c>
      <c r="G6" s="22" t="s">
        <v>72</v>
      </c>
      <c r="H6" s="22" t="s">
        <v>73</v>
      </c>
      <c r="I6" s="22" t="s">
        <v>74</v>
      </c>
      <c r="J6" s="22" t="s">
        <v>75</v>
      </c>
      <c r="K6" s="22" t="s">
        <v>76</v>
      </c>
      <c r="L6" s="22" t="s">
        <v>77</v>
      </c>
      <c r="M6" s="22" t="s">
        <v>78</v>
      </c>
      <c r="N6" s="22" t="s">
        <v>63</v>
      </c>
      <c r="O6" s="22" t="s">
        <v>63</v>
      </c>
      <c r="P6" s="22" t="s">
        <v>63</v>
      </c>
      <c r="Q6" s="22" t="s">
        <v>63</v>
      </c>
      <c r="R6" s="22" t="s">
        <v>63</v>
      </c>
      <c r="S6" s="22" t="s">
        <v>10</v>
      </c>
      <c r="T6" s="22" t="s">
        <v>85</v>
      </c>
      <c r="U6" s="23" t="s">
        <v>82</v>
      </c>
      <c r="V6" s="21"/>
      <c r="W6" s="21"/>
    </row>
    <row r="7" spans="1:23" ht="57">
      <c r="A7" s="21" t="s">
        <v>86</v>
      </c>
      <c r="B7" s="22" t="s">
        <v>87</v>
      </c>
      <c r="C7" s="22" t="s">
        <v>88</v>
      </c>
      <c r="D7" s="22" t="s">
        <v>89</v>
      </c>
      <c r="E7" s="22" t="s">
        <v>90</v>
      </c>
      <c r="F7" s="22" t="s">
        <v>71</v>
      </c>
      <c r="G7" s="22" t="s">
        <v>91</v>
      </c>
      <c r="H7" s="22" t="s">
        <v>73</v>
      </c>
      <c r="I7" s="22" t="s">
        <v>74</v>
      </c>
      <c r="J7" s="22" t="s">
        <v>75</v>
      </c>
      <c r="K7" s="22" t="s">
        <v>92</v>
      </c>
      <c r="L7" s="22" t="s">
        <v>93</v>
      </c>
      <c r="M7" s="22" t="s">
        <v>78</v>
      </c>
      <c r="N7" s="22" t="s">
        <v>94</v>
      </c>
      <c r="O7" s="22" t="s">
        <v>95</v>
      </c>
      <c r="P7" s="22" t="s">
        <v>96</v>
      </c>
      <c r="Q7" s="22" t="s">
        <v>97</v>
      </c>
      <c r="R7" s="22" t="s">
        <v>98</v>
      </c>
      <c r="S7" s="22" t="s">
        <v>8</v>
      </c>
      <c r="T7" s="22" t="s">
        <v>99</v>
      </c>
      <c r="U7" s="23" t="s">
        <v>100</v>
      </c>
      <c r="V7" s="21"/>
      <c r="W7" s="21"/>
    </row>
    <row r="8" spans="1:23" ht="28.5">
      <c r="A8" s="21" t="s">
        <v>101</v>
      </c>
      <c r="B8" s="22" t="s">
        <v>102</v>
      </c>
      <c r="C8" s="22" t="s">
        <v>103</v>
      </c>
      <c r="D8" s="22" t="s">
        <v>104</v>
      </c>
      <c r="E8" s="22" t="s">
        <v>70</v>
      </c>
      <c r="F8" s="22" t="s">
        <v>105</v>
      </c>
      <c r="G8" s="22" t="s">
        <v>106</v>
      </c>
      <c r="H8" s="22" t="s">
        <v>107</v>
      </c>
      <c r="I8" s="22" t="s">
        <v>108</v>
      </c>
      <c r="J8" s="22" t="s">
        <v>63</v>
      </c>
      <c r="K8" s="22" t="s">
        <v>76</v>
      </c>
      <c r="L8" s="22" t="s">
        <v>77</v>
      </c>
      <c r="M8" s="22" t="s">
        <v>78</v>
      </c>
      <c r="N8" s="22" t="s">
        <v>63</v>
      </c>
      <c r="O8" s="22" t="s">
        <v>63</v>
      </c>
      <c r="P8" s="22" t="s">
        <v>63</v>
      </c>
      <c r="Q8" s="22" t="s">
        <v>63</v>
      </c>
      <c r="R8" s="22" t="s">
        <v>63</v>
      </c>
      <c r="S8" s="22" t="s">
        <v>12</v>
      </c>
      <c r="T8" s="22" t="s">
        <v>109</v>
      </c>
      <c r="U8" s="23" t="s">
        <v>82</v>
      </c>
      <c r="V8" s="21"/>
      <c r="W8" s="21"/>
    </row>
    <row r="9" spans="1:23" ht="28.5">
      <c r="A9" s="21" t="s">
        <v>110</v>
      </c>
      <c r="B9" s="22" t="s">
        <v>111</v>
      </c>
      <c r="C9" s="22" t="s">
        <v>112</v>
      </c>
      <c r="D9" s="22" t="s">
        <v>53</v>
      </c>
      <c r="E9" s="22" t="s">
        <v>113</v>
      </c>
      <c r="F9" s="22" t="s">
        <v>114</v>
      </c>
      <c r="G9" s="22" t="s">
        <v>115</v>
      </c>
      <c r="H9" s="22" t="s">
        <v>116</v>
      </c>
      <c r="I9" s="22" t="s">
        <v>117</v>
      </c>
      <c r="J9" s="22" t="s">
        <v>63</v>
      </c>
      <c r="K9" s="22" t="s">
        <v>118</v>
      </c>
      <c r="L9" s="22" t="s">
        <v>63</v>
      </c>
      <c r="M9" s="22" t="s">
        <v>78</v>
      </c>
      <c r="N9" s="22" t="s">
        <v>119</v>
      </c>
      <c r="O9" s="22" t="s">
        <v>120</v>
      </c>
      <c r="P9" s="22" t="s">
        <v>121</v>
      </c>
      <c r="Q9" s="22" t="s">
        <v>122</v>
      </c>
      <c r="R9" s="22" t="s">
        <v>123</v>
      </c>
      <c r="S9" s="22" t="s">
        <v>8</v>
      </c>
      <c r="T9" s="22" t="s">
        <v>124</v>
      </c>
      <c r="U9" s="23" t="s">
        <v>82</v>
      </c>
      <c r="V9" s="21"/>
      <c r="W9" s="21"/>
    </row>
    <row r="10" spans="1:23">
      <c r="A10" s="21" t="s">
        <v>125</v>
      </c>
      <c r="B10" s="22" t="s">
        <v>126</v>
      </c>
      <c r="C10" s="22" t="s">
        <v>127</v>
      </c>
      <c r="D10" s="22" t="s">
        <v>128</v>
      </c>
      <c r="E10" s="22" t="s">
        <v>113</v>
      </c>
      <c r="F10" s="22" t="s">
        <v>114</v>
      </c>
      <c r="G10" s="22" t="s">
        <v>129</v>
      </c>
      <c r="H10" s="22" t="s">
        <v>116</v>
      </c>
      <c r="I10" s="22" t="s">
        <v>117</v>
      </c>
      <c r="J10" s="22" t="s">
        <v>63</v>
      </c>
      <c r="K10" s="22" t="s">
        <v>130</v>
      </c>
      <c r="L10" s="22" t="s">
        <v>63</v>
      </c>
      <c r="M10" s="22" t="s">
        <v>78</v>
      </c>
      <c r="N10" s="22" t="s">
        <v>131</v>
      </c>
      <c r="O10" s="22" t="s">
        <v>120</v>
      </c>
      <c r="P10" s="22" t="s">
        <v>132</v>
      </c>
      <c r="Q10" s="22" t="s">
        <v>133</v>
      </c>
      <c r="R10" s="22" t="s">
        <v>123</v>
      </c>
      <c r="S10" s="22" t="s">
        <v>8</v>
      </c>
      <c r="T10" s="22" t="s">
        <v>124</v>
      </c>
      <c r="U10" s="23" t="s">
        <v>82</v>
      </c>
      <c r="V10" s="21"/>
      <c r="W10" s="21"/>
    </row>
    <row r="11" spans="1:23" ht="99.75">
      <c r="A11" s="24" t="s">
        <v>134</v>
      </c>
      <c r="B11" s="25" t="s">
        <v>87</v>
      </c>
      <c r="C11" s="25" t="s">
        <v>135</v>
      </c>
      <c r="D11" s="25" t="s">
        <v>136</v>
      </c>
      <c r="E11" s="25" t="s">
        <v>90</v>
      </c>
      <c r="F11" s="25" t="s">
        <v>71</v>
      </c>
      <c r="G11" s="25" t="s">
        <v>137</v>
      </c>
      <c r="H11" s="25" t="s">
        <v>138</v>
      </c>
      <c r="I11" s="25" t="s">
        <v>108</v>
      </c>
      <c r="J11" s="25" t="s">
        <v>59</v>
      </c>
      <c r="K11" s="25" t="s">
        <v>139</v>
      </c>
      <c r="L11" s="25" t="s">
        <v>140</v>
      </c>
      <c r="M11" s="25" t="s">
        <v>78</v>
      </c>
      <c r="N11" s="25" t="s">
        <v>141</v>
      </c>
      <c r="O11" s="25" t="s">
        <v>142</v>
      </c>
      <c r="P11" s="25" t="s">
        <v>143</v>
      </c>
      <c r="Q11" s="25" t="s">
        <v>144</v>
      </c>
      <c r="R11" s="25" t="s">
        <v>145</v>
      </c>
      <c r="S11" s="25" t="s">
        <v>8</v>
      </c>
      <c r="T11" s="25" t="s">
        <v>146</v>
      </c>
      <c r="U11" s="26" t="s">
        <v>147</v>
      </c>
      <c r="V11" s="24"/>
      <c r="W11" s="21"/>
    </row>
  </sheetData>
  <mergeCells count="1">
    <mergeCell ref="A1:U1"/>
  </mergeCells>
  <conditionalFormatting sqref="S4:S200">
    <cfRule type="expression" dxfId="6" priority="1">
      <formula>S4="Funcionando"</formula>
    </cfRule>
    <cfRule type="expression" dxfId="5" priority="2">
      <formula>S4="Liga, sem vídeo"</formula>
    </cfRule>
    <cfRule type="expression" dxfId="4" priority="3">
      <formula>S4="Não testada"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Listas!$A$2:$A$7</xm:f>
          </x14:formula1>
          <xm:sqref>S4:S200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"/>
  <sheetViews>
    <sheetView workbookViewId="0">
      <selection sqref="A1:W1"/>
    </sheetView>
  </sheetViews>
  <sheetFormatPr defaultRowHeight="14.25"/>
  <cols>
    <col min="1" max="1" width="11" style="8" customWidth="1"/>
    <col min="2" max="3" width="22" style="8" customWidth="1"/>
    <col min="4" max="4" width="16" style="8" customWidth="1"/>
    <col min="5" max="5" width="17" style="8" customWidth="1"/>
    <col min="6" max="6" width="15" style="8" customWidth="1"/>
    <col min="7" max="7" width="12" style="8" customWidth="1"/>
    <col min="8" max="8" width="30" style="8" customWidth="1"/>
    <col min="9" max="9" width="13" style="8" customWidth="1"/>
    <col min="10" max="10" width="22" style="8" customWidth="1"/>
    <col min="11" max="11" width="18" style="8" customWidth="1"/>
    <col min="12" max="12" width="17" style="8" customWidth="1"/>
    <col min="13" max="13" width="25" style="8" customWidth="1"/>
    <col min="14" max="15" width="10" style="8" customWidth="1"/>
    <col min="16" max="16" width="18" style="8" customWidth="1"/>
    <col min="17" max="17" width="15" style="8" customWidth="1"/>
    <col min="18" max="18" width="25" style="8" customWidth="1"/>
    <col min="19" max="19" width="20" style="8" customWidth="1"/>
    <col min="20" max="20" width="13" style="8" customWidth="1"/>
    <col min="21" max="21" width="22" style="8" customWidth="1"/>
    <col min="22" max="22" width="45" style="8" customWidth="1"/>
    <col min="23" max="23" width="16" style="8" customWidth="1"/>
  </cols>
  <sheetData>
    <row r="1" spans="1:23" ht="27.95" customHeight="1">
      <c r="A1" s="37" t="s">
        <v>148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3" spans="1:23" ht="30">
      <c r="A3" s="18" t="s">
        <v>29</v>
      </c>
      <c r="B3" s="19" t="s">
        <v>149</v>
      </c>
      <c r="C3" s="19" t="s">
        <v>31</v>
      </c>
      <c r="D3" s="19" t="s">
        <v>150</v>
      </c>
      <c r="E3" s="19" t="s">
        <v>151</v>
      </c>
      <c r="F3" s="19" t="s">
        <v>152</v>
      </c>
      <c r="G3" s="19" t="s">
        <v>153</v>
      </c>
      <c r="H3" s="19" t="s">
        <v>154</v>
      </c>
      <c r="I3" s="19" t="s">
        <v>155</v>
      </c>
      <c r="J3" s="19" t="s">
        <v>156</v>
      </c>
      <c r="K3" s="19" t="s">
        <v>157</v>
      </c>
      <c r="L3" s="19" t="s">
        <v>158</v>
      </c>
      <c r="M3" s="19" t="s">
        <v>159</v>
      </c>
      <c r="N3" s="19" t="s">
        <v>160</v>
      </c>
      <c r="O3" s="19" t="s">
        <v>161</v>
      </c>
      <c r="P3" s="19" t="s">
        <v>162</v>
      </c>
      <c r="Q3" s="19" t="s">
        <v>163</v>
      </c>
      <c r="R3" s="19" t="s">
        <v>164</v>
      </c>
      <c r="S3" s="19" t="s">
        <v>165</v>
      </c>
      <c r="T3" s="19" t="s">
        <v>166</v>
      </c>
      <c r="U3" s="19" t="s">
        <v>47</v>
      </c>
      <c r="V3" s="19" t="s">
        <v>167</v>
      </c>
      <c r="W3" s="20" t="s">
        <v>49</v>
      </c>
    </row>
    <row r="4" spans="1:23" ht="42.75">
      <c r="A4" s="21" t="s">
        <v>168</v>
      </c>
      <c r="B4" s="22" t="s">
        <v>169</v>
      </c>
      <c r="C4" s="22" t="s">
        <v>170</v>
      </c>
      <c r="D4" s="22" t="s">
        <v>171</v>
      </c>
      <c r="E4" s="22" t="s">
        <v>172</v>
      </c>
      <c r="F4" s="22" t="s">
        <v>173</v>
      </c>
      <c r="G4" s="22" t="s">
        <v>174</v>
      </c>
      <c r="H4" s="22" t="s">
        <v>175</v>
      </c>
      <c r="I4" s="22" t="s">
        <v>176</v>
      </c>
      <c r="J4" s="22" t="s">
        <v>177</v>
      </c>
      <c r="K4" s="22" t="s">
        <v>178</v>
      </c>
      <c r="L4" s="22" t="s">
        <v>179</v>
      </c>
      <c r="M4" s="22" t="s">
        <v>180</v>
      </c>
      <c r="N4" s="22" t="s">
        <v>181</v>
      </c>
      <c r="O4" s="22" t="s">
        <v>53</v>
      </c>
      <c r="P4" s="22" t="s">
        <v>182</v>
      </c>
      <c r="Q4" s="22" t="s">
        <v>183</v>
      </c>
      <c r="R4" s="22" t="s">
        <v>184</v>
      </c>
      <c r="S4" s="22" t="s">
        <v>185</v>
      </c>
      <c r="T4" s="22" t="s">
        <v>186</v>
      </c>
      <c r="U4" s="22" t="s">
        <v>187</v>
      </c>
      <c r="V4" s="22" t="s">
        <v>188</v>
      </c>
      <c r="W4" s="23" t="s">
        <v>189</v>
      </c>
    </row>
    <row r="5" spans="1:23" ht="42.75">
      <c r="A5" s="24" t="s">
        <v>190</v>
      </c>
      <c r="B5" s="25" t="s">
        <v>169</v>
      </c>
      <c r="C5" s="25" t="s">
        <v>191</v>
      </c>
      <c r="D5" s="25" t="s">
        <v>192</v>
      </c>
      <c r="E5" s="25" t="s">
        <v>193</v>
      </c>
      <c r="F5" s="25" t="s">
        <v>53</v>
      </c>
      <c r="G5" s="25" t="s">
        <v>194</v>
      </c>
      <c r="H5" s="25" t="s">
        <v>195</v>
      </c>
      <c r="I5" s="25" t="s">
        <v>196</v>
      </c>
      <c r="J5" s="25" t="s">
        <v>197</v>
      </c>
      <c r="K5" s="25" t="s">
        <v>178</v>
      </c>
      <c r="L5" s="25" t="s">
        <v>198</v>
      </c>
      <c r="M5" s="25" t="s">
        <v>199</v>
      </c>
      <c r="N5" s="25" t="s">
        <v>200</v>
      </c>
      <c r="O5" s="25" t="s">
        <v>201</v>
      </c>
      <c r="P5" s="25" t="s">
        <v>202</v>
      </c>
      <c r="Q5" s="25" t="s">
        <v>183</v>
      </c>
      <c r="R5" s="25" t="s">
        <v>203</v>
      </c>
      <c r="S5" s="25" t="s">
        <v>185</v>
      </c>
      <c r="T5" s="25" t="s">
        <v>186</v>
      </c>
      <c r="U5" s="25" t="s">
        <v>187</v>
      </c>
      <c r="V5" s="25" t="s">
        <v>204</v>
      </c>
      <c r="W5" s="26" t="s">
        <v>205</v>
      </c>
    </row>
  </sheetData>
  <mergeCells count="1">
    <mergeCell ref="A1:W1"/>
  </mergeCells>
  <conditionalFormatting sqref="U4:U200">
    <cfRule type="expression" dxfId="3" priority="1">
      <formula>ISNUMBER(SEARCH("Funcionando",U4))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Listas!$A$2:$A$7</xm:f>
          </x14:formula1>
          <xm:sqref>U4:U200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8"/>
  <sheetViews>
    <sheetView workbookViewId="0"/>
  </sheetViews>
  <sheetFormatPr defaultRowHeight="14.25"/>
  <cols>
    <col min="1" max="1" width="11" style="8" customWidth="1"/>
    <col min="2" max="2" width="13" style="8" customWidth="1"/>
    <col min="3" max="3" width="23" style="8" customWidth="1"/>
    <col min="4" max="4" width="17" style="8" customWidth="1"/>
    <col min="5" max="5" width="13" style="8" customWidth="1"/>
    <col min="6" max="6" width="12" style="8" customWidth="1"/>
    <col min="7" max="7" width="11" style="8" customWidth="1"/>
    <col min="8" max="8" width="12" style="8" customWidth="1"/>
    <col min="9" max="10" width="10" style="8" customWidth="1"/>
    <col min="11" max="11" width="14" style="8" customWidth="1"/>
    <col min="12" max="12" width="17" style="8" customWidth="1"/>
    <col min="13" max="13" width="15" style="8" customWidth="1"/>
    <col min="14" max="14" width="13" style="8" customWidth="1"/>
    <col min="15" max="15" width="10" style="8" customWidth="1"/>
    <col min="16" max="16" width="48" style="8" customWidth="1"/>
    <col min="17" max="18" width="16" style="8" customWidth="1"/>
  </cols>
  <sheetData>
    <row r="1" spans="1:18" ht="27.95" customHeight="1">
      <c r="A1" s="37" t="s">
        <v>206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3" spans="1:18" ht="15">
      <c r="A3" s="18" t="s">
        <v>29</v>
      </c>
      <c r="B3" s="19" t="s">
        <v>30</v>
      </c>
      <c r="C3" s="19" t="s">
        <v>31</v>
      </c>
      <c r="D3" s="19" t="s">
        <v>151</v>
      </c>
      <c r="E3" s="19" t="s">
        <v>34</v>
      </c>
      <c r="F3" s="19" t="s">
        <v>153</v>
      </c>
      <c r="G3" s="19" t="s">
        <v>207</v>
      </c>
      <c r="H3" s="19" t="s">
        <v>208</v>
      </c>
      <c r="I3" s="19" t="s">
        <v>209</v>
      </c>
      <c r="J3" s="19" t="s">
        <v>210</v>
      </c>
      <c r="K3" s="19" t="s">
        <v>211</v>
      </c>
      <c r="L3" s="19" t="s">
        <v>212</v>
      </c>
      <c r="M3" s="19" t="s">
        <v>213</v>
      </c>
      <c r="N3" s="19" t="s">
        <v>214</v>
      </c>
      <c r="O3" s="19" t="s">
        <v>215</v>
      </c>
      <c r="P3" s="19" t="s">
        <v>216</v>
      </c>
      <c r="Q3" s="19" t="s">
        <v>217</v>
      </c>
      <c r="R3" s="20" t="s">
        <v>47</v>
      </c>
    </row>
    <row r="4" spans="1:18" ht="28.5">
      <c r="A4" s="21" t="s">
        <v>218</v>
      </c>
      <c r="B4" s="22" t="s">
        <v>219</v>
      </c>
      <c r="C4" s="22" t="s">
        <v>220</v>
      </c>
      <c r="D4" s="22" t="s">
        <v>221</v>
      </c>
      <c r="E4" s="22" t="s">
        <v>71</v>
      </c>
      <c r="F4" s="22" t="s">
        <v>222</v>
      </c>
      <c r="G4" s="22" t="s">
        <v>223</v>
      </c>
      <c r="H4" s="22" t="s">
        <v>224</v>
      </c>
      <c r="I4" s="22" t="s">
        <v>200</v>
      </c>
      <c r="J4" s="22" t="s">
        <v>200</v>
      </c>
      <c r="K4" s="22" t="s">
        <v>225</v>
      </c>
      <c r="L4" s="22" t="s">
        <v>226</v>
      </c>
      <c r="M4" s="22" t="s">
        <v>227</v>
      </c>
      <c r="N4" s="22" t="s">
        <v>228</v>
      </c>
      <c r="O4" s="22" t="s">
        <v>229</v>
      </c>
      <c r="P4" s="22" t="s">
        <v>230</v>
      </c>
      <c r="Q4" s="22" t="s">
        <v>86</v>
      </c>
      <c r="R4" s="23" t="s">
        <v>8</v>
      </c>
    </row>
    <row r="5" spans="1:18">
      <c r="A5" s="21" t="s">
        <v>231</v>
      </c>
      <c r="B5" s="22" t="s">
        <v>219</v>
      </c>
      <c r="C5" s="22" t="s">
        <v>232</v>
      </c>
      <c r="D5" s="22" t="s">
        <v>233</v>
      </c>
      <c r="E5" s="22" t="s">
        <v>71</v>
      </c>
      <c r="F5" s="22" t="s">
        <v>234</v>
      </c>
      <c r="G5" s="22" t="s">
        <v>235</v>
      </c>
      <c r="H5" s="22" t="s">
        <v>236</v>
      </c>
      <c r="I5" s="22" t="s">
        <v>200</v>
      </c>
      <c r="J5" s="22" t="s">
        <v>200</v>
      </c>
      <c r="K5" s="22" t="s">
        <v>237</v>
      </c>
      <c r="L5" s="22" t="s">
        <v>238</v>
      </c>
      <c r="M5" s="22" t="s">
        <v>239</v>
      </c>
      <c r="N5" s="22" t="s">
        <v>240</v>
      </c>
      <c r="O5" s="22" t="s">
        <v>229</v>
      </c>
      <c r="P5" s="22" t="s">
        <v>241</v>
      </c>
      <c r="Q5" s="22" t="s">
        <v>134</v>
      </c>
      <c r="R5" s="23" t="s">
        <v>8</v>
      </c>
    </row>
    <row r="6" spans="1:18" ht="28.5">
      <c r="A6" s="21" t="s">
        <v>242</v>
      </c>
      <c r="B6" s="22" t="s">
        <v>219</v>
      </c>
      <c r="C6" s="22" t="s">
        <v>243</v>
      </c>
      <c r="D6" s="22" t="s">
        <v>244</v>
      </c>
      <c r="E6" s="22" t="s">
        <v>71</v>
      </c>
      <c r="F6" s="22" t="s">
        <v>222</v>
      </c>
      <c r="G6" s="22" t="s">
        <v>63</v>
      </c>
      <c r="H6" s="22" t="s">
        <v>63</v>
      </c>
      <c r="I6" s="22" t="s">
        <v>200</v>
      </c>
      <c r="J6" s="22" t="s">
        <v>200</v>
      </c>
      <c r="K6" s="22" t="s">
        <v>245</v>
      </c>
      <c r="L6" s="22" t="s">
        <v>246</v>
      </c>
      <c r="M6" s="22" t="s">
        <v>239</v>
      </c>
      <c r="N6" s="22" t="s">
        <v>247</v>
      </c>
      <c r="O6" s="22" t="s">
        <v>229</v>
      </c>
      <c r="P6" s="22" t="s">
        <v>63</v>
      </c>
      <c r="Q6" s="22" t="s">
        <v>66</v>
      </c>
      <c r="R6" s="23" t="s">
        <v>8</v>
      </c>
    </row>
    <row r="7" spans="1:18" ht="28.5">
      <c r="A7" s="21" t="s">
        <v>248</v>
      </c>
      <c r="B7" s="22" t="s">
        <v>219</v>
      </c>
      <c r="C7" s="22" t="s">
        <v>249</v>
      </c>
      <c r="D7" s="22" t="s">
        <v>250</v>
      </c>
      <c r="E7" s="22" t="s">
        <v>251</v>
      </c>
      <c r="F7" s="22" t="s">
        <v>252</v>
      </c>
      <c r="G7" s="22" t="s">
        <v>63</v>
      </c>
      <c r="H7" s="22" t="s">
        <v>63</v>
      </c>
      <c r="I7" s="22" t="s">
        <v>200</v>
      </c>
      <c r="J7" s="22" t="s">
        <v>200</v>
      </c>
      <c r="K7" s="22" t="s">
        <v>253</v>
      </c>
      <c r="L7" s="22" t="s">
        <v>254</v>
      </c>
      <c r="M7" s="22" t="s">
        <v>63</v>
      </c>
      <c r="N7" s="22" t="s">
        <v>240</v>
      </c>
      <c r="O7" s="22" t="s">
        <v>255</v>
      </c>
      <c r="P7" s="22" t="s">
        <v>63</v>
      </c>
      <c r="Q7" s="22" t="s">
        <v>110</v>
      </c>
      <c r="R7" s="23" t="s">
        <v>8</v>
      </c>
    </row>
    <row r="8" spans="1:18" ht="28.5">
      <c r="A8" s="24" t="s">
        <v>256</v>
      </c>
      <c r="B8" s="25" t="s">
        <v>219</v>
      </c>
      <c r="C8" s="25" t="s">
        <v>257</v>
      </c>
      <c r="D8" s="25" t="s">
        <v>258</v>
      </c>
      <c r="E8" s="25" t="s">
        <v>251</v>
      </c>
      <c r="F8" s="25" t="s">
        <v>259</v>
      </c>
      <c r="G8" s="25" t="s">
        <v>63</v>
      </c>
      <c r="H8" s="25" t="s">
        <v>63</v>
      </c>
      <c r="I8" s="25" t="s">
        <v>200</v>
      </c>
      <c r="J8" s="25" t="s">
        <v>200</v>
      </c>
      <c r="K8" s="25" t="s">
        <v>260</v>
      </c>
      <c r="L8" s="25" t="s">
        <v>254</v>
      </c>
      <c r="M8" s="25" t="s">
        <v>63</v>
      </c>
      <c r="N8" s="25" t="s">
        <v>261</v>
      </c>
      <c r="O8" s="25" t="s">
        <v>262</v>
      </c>
      <c r="P8" s="25" t="s">
        <v>63</v>
      </c>
      <c r="Q8" s="25" t="s">
        <v>125</v>
      </c>
      <c r="R8" s="26" t="s">
        <v>8</v>
      </c>
    </row>
  </sheetData>
  <mergeCells count="1">
    <mergeCell ref="A1:R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"/>
  <sheetViews>
    <sheetView workbookViewId="0"/>
  </sheetViews>
  <sheetFormatPr defaultRowHeight="14.25"/>
  <cols>
    <col min="1" max="1" width="11" style="8" customWidth="1"/>
    <col min="2" max="2" width="16" style="8" customWidth="1"/>
    <col min="3" max="3" width="26" style="8" customWidth="1"/>
    <col min="4" max="4" width="13" style="8" customWidth="1"/>
    <col min="5" max="5" width="18" style="8" customWidth="1"/>
    <col min="6" max="6" width="24" style="8" customWidth="1"/>
    <col min="7" max="7" width="16" style="8" customWidth="1"/>
    <col min="8" max="8" width="11" style="8" customWidth="1"/>
    <col min="9" max="9" width="10" style="8" customWidth="1"/>
    <col min="10" max="10" width="11" style="8" customWidth="1"/>
    <col min="11" max="11" width="16" style="8" customWidth="1"/>
    <col min="12" max="12" width="58" style="8" customWidth="1"/>
  </cols>
  <sheetData>
    <row r="1" spans="1:12" ht="27.95" customHeight="1">
      <c r="A1" s="37" t="s">
        <v>263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3" spans="1:12" ht="15">
      <c r="A3" s="18" t="s">
        <v>29</v>
      </c>
      <c r="B3" s="19" t="s">
        <v>30</v>
      </c>
      <c r="C3" s="19" t="s">
        <v>264</v>
      </c>
      <c r="D3" s="19" t="s">
        <v>265</v>
      </c>
      <c r="E3" s="19" t="s">
        <v>166</v>
      </c>
      <c r="F3" s="19" t="s">
        <v>266</v>
      </c>
      <c r="G3" s="19" t="s">
        <v>267</v>
      </c>
      <c r="H3" s="19" t="s">
        <v>268</v>
      </c>
      <c r="I3" s="19" t="s">
        <v>269</v>
      </c>
      <c r="J3" s="19" t="s">
        <v>270</v>
      </c>
      <c r="K3" s="19" t="s">
        <v>217</v>
      </c>
      <c r="L3" s="20" t="s">
        <v>271</v>
      </c>
    </row>
    <row r="4" spans="1:12" ht="28.5">
      <c r="A4" s="21" t="s">
        <v>272</v>
      </c>
      <c r="B4" s="22" t="s">
        <v>273</v>
      </c>
      <c r="C4" s="22" t="s">
        <v>274</v>
      </c>
      <c r="D4" s="22" t="s">
        <v>275</v>
      </c>
      <c r="E4" s="22" t="s">
        <v>276</v>
      </c>
      <c r="F4" s="22" t="s">
        <v>277</v>
      </c>
      <c r="G4" s="22" t="s">
        <v>278</v>
      </c>
      <c r="H4" s="22" t="s">
        <v>279</v>
      </c>
      <c r="I4" s="22" t="s">
        <v>280</v>
      </c>
      <c r="J4" s="22" t="s">
        <v>63</v>
      </c>
      <c r="K4" s="22" t="s">
        <v>86</v>
      </c>
      <c r="L4" s="23" t="s">
        <v>281</v>
      </c>
    </row>
    <row r="5" spans="1:12" ht="28.5">
      <c r="A5" s="21" t="s">
        <v>282</v>
      </c>
      <c r="B5" s="22" t="s">
        <v>273</v>
      </c>
      <c r="C5" s="22" t="s">
        <v>274</v>
      </c>
      <c r="D5" s="22" t="s">
        <v>275</v>
      </c>
      <c r="E5" s="22" t="s">
        <v>276</v>
      </c>
      <c r="F5" s="22" t="s">
        <v>277</v>
      </c>
      <c r="G5" s="22" t="s">
        <v>278</v>
      </c>
      <c r="H5" s="22" t="s">
        <v>279</v>
      </c>
      <c r="I5" s="22" t="s">
        <v>280</v>
      </c>
      <c r="J5" s="22" t="s">
        <v>63</v>
      </c>
      <c r="K5" s="22" t="s">
        <v>86</v>
      </c>
      <c r="L5" s="23" t="s">
        <v>283</v>
      </c>
    </row>
    <row r="6" spans="1:12" ht="28.5">
      <c r="A6" s="21" t="s">
        <v>284</v>
      </c>
      <c r="B6" s="22" t="s">
        <v>285</v>
      </c>
      <c r="C6" s="22" t="s">
        <v>286</v>
      </c>
      <c r="D6" s="22" t="s">
        <v>196</v>
      </c>
      <c r="E6" s="22" t="s">
        <v>287</v>
      </c>
      <c r="F6" s="22" t="s">
        <v>288</v>
      </c>
      <c r="G6" s="22" t="s">
        <v>246</v>
      </c>
      <c r="H6" s="22" t="s">
        <v>289</v>
      </c>
      <c r="I6" s="22" t="s">
        <v>280</v>
      </c>
      <c r="J6" s="22" t="s">
        <v>290</v>
      </c>
      <c r="K6" s="22" t="s">
        <v>134</v>
      </c>
      <c r="L6" s="23" t="s">
        <v>291</v>
      </c>
    </row>
    <row r="7" spans="1:12" ht="28.5">
      <c r="A7" s="21" t="s">
        <v>292</v>
      </c>
      <c r="B7" s="22" t="s">
        <v>293</v>
      </c>
      <c r="C7" s="22" t="s">
        <v>294</v>
      </c>
      <c r="D7" s="22" t="s">
        <v>196</v>
      </c>
      <c r="E7" s="22" t="s">
        <v>287</v>
      </c>
      <c r="F7" s="22" t="s">
        <v>295</v>
      </c>
      <c r="G7" s="22" t="s">
        <v>296</v>
      </c>
      <c r="H7" s="22" t="s">
        <v>289</v>
      </c>
      <c r="I7" s="22" t="s">
        <v>280</v>
      </c>
      <c r="J7" s="22" t="s">
        <v>297</v>
      </c>
      <c r="K7" s="22" t="s">
        <v>134</v>
      </c>
      <c r="L7" s="23" t="s">
        <v>298</v>
      </c>
    </row>
    <row r="8" spans="1:12" ht="28.5">
      <c r="A8" s="21" t="s">
        <v>299</v>
      </c>
      <c r="B8" s="22" t="s">
        <v>300</v>
      </c>
      <c r="C8" s="22" t="s">
        <v>63</v>
      </c>
      <c r="D8" s="22" t="s">
        <v>301</v>
      </c>
      <c r="E8" s="22" t="s">
        <v>74</v>
      </c>
      <c r="F8" s="22" t="s">
        <v>63</v>
      </c>
      <c r="G8" s="22" t="s">
        <v>63</v>
      </c>
      <c r="H8" s="22" t="s">
        <v>63</v>
      </c>
      <c r="I8" s="22" t="s">
        <v>63</v>
      </c>
      <c r="J8" s="22" t="s">
        <v>63</v>
      </c>
      <c r="K8" s="22" t="s">
        <v>66</v>
      </c>
      <c r="L8" s="23" t="s">
        <v>302</v>
      </c>
    </row>
    <row r="9" spans="1:12" ht="28.5">
      <c r="A9" s="21" t="s">
        <v>303</v>
      </c>
      <c r="B9" s="22" t="s">
        <v>300</v>
      </c>
      <c r="C9" s="22" t="s">
        <v>63</v>
      </c>
      <c r="D9" s="22" t="s">
        <v>301</v>
      </c>
      <c r="E9" s="22" t="s">
        <v>117</v>
      </c>
      <c r="F9" s="22" t="s">
        <v>63</v>
      </c>
      <c r="G9" s="22" t="s">
        <v>63</v>
      </c>
      <c r="H9" s="22" t="s">
        <v>63</v>
      </c>
      <c r="I9" s="22" t="s">
        <v>63</v>
      </c>
      <c r="J9" s="22" t="s">
        <v>63</v>
      </c>
      <c r="K9" s="22" t="s">
        <v>110</v>
      </c>
      <c r="L9" s="23" t="s">
        <v>302</v>
      </c>
    </row>
    <row r="10" spans="1:12" ht="28.5">
      <c r="A10" s="24" t="s">
        <v>304</v>
      </c>
      <c r="B10" s="25" t="s">
        <v>300</v>
      </c>
      <c r="C10" s="25" t="s">
        <v>63</v>
      </c>
      <c r="D10" s="25" t="s">
        <v>301</v>
      </c>
      <c r="E10" s="25" t="s">
        <v>117</v>
      </c>
      <c r="F10" s="25" t="s">
        <v>63</v>
      </c>
      <c r="G10" s="25" t="s">
        <v>63</v>
      </c>
      <c r="H10" s="25" t="s">
        <v>63</v>
      </c>
      <c r="I10" s="25" t="s">
        <v>63</v>
      </c>
      <c r="J10" s="25" t="s">
        <v>63</v>
      </c>
      <c r="K10" s="25" t="s">
        <v>125</v>
      </c>
      <c r="L10" s="26" t="s">
        <v>302</v>
      </c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"/>
  <sheetViews>
    <sheetView workbookViewId="0"/>
  </sheetViews>
  <sheetFormatPr defaultRowHeight="14.25"/>
  <cols>
    <col min="1" max="2" width="15" style="8" customWidth="1"/>
    <col min="3" max="3" width="30" style="8" customWidth="1"/>
    <col min="4" max="4" width="35" style="8" customWidth="1"/>
    <col min="5" max="5" width="20" style="8" customWidth="1"/>
    <col min="6" max="6" width="28" style="8" customWidth="1"/>
    <col min="7" max="7" width="55" style="8" customWidth="1"/>
    <col min="8" max="8" width="18" style="8" customWidth="1"/>
  </cols>
  <sheetData>
    <row r="1" spans="1:8" ht="27.95" customHeight="1">
      <c r="A1" s="37" t="s">
        <v>305</v>
      </c>
      <c r="B1" s="29"/>
      <c r="C1" s="29"/>
      <c r="D1" s="29"/>
      <c r="E1" s="29"/>
      <c r="F1" s="29"/>
      <c r="G1" s="29"/>
      <c r="H1" s="29"/>
    </row>
    <row r="3" spans="1:8" ht="30">
      <c r="A3" s="18" t="s">
        <v>306</v>
      </c>
      <c r="B3" s="19" t="s">
        <v>307</v>
      </c>
      <c r="C3" s="19" t="s">
        <v>308</v>
      </c>
      <c r="D3" s="19" t="s">
        <v>309</v>
      </c>
      <c r="E3" s="19" t="s">
        <v>310</v>
      </c>
      <c r="F3" s="19" t="s">
        <v>311</v>
      </c>
      <c r="G3" s="19" t="s">
        <v>312</v>
      </c>
      <c r="H3" s="20" t="s">
        <v>49</v>
      </c>
    </row>
    <row r="4" spans="1:8" ht="28.5">
      <c r="A4" s="21" t="s">
        <v>313</v>
      </c>
      <c r="B4" s="22" t="s">
        <v>86</v>
      </c>
      <c r="C4" s="22" t="s">
        <v>314</v>
      </c>
      <c r="D4" s="22" t="s">
        <v>315</v>
      </c>
      <c r="E4" s="22" t="s">
        <v>316</v>
      </c>
      <c r="F4" s="22" t="s">
        <v>317</v>
      </c>
      <c r="G4" s="22" t="s">
        <v>318</v>
      </c>
      <c r="H4" s="23" t="s">
        <v>319</v>
      </c>
    </row>
    <row r="5" spans="1:8" ht="28.5">
      <c r="A5" s="21" t="s">
        <v>320</v>
      </c>
      <c r="B5" s="22" t="s">
        <v>134</v>
      </c>
      <c r="C5" s="22" t="s">
        <v>321</v>
      </c>
      <c r="D5" s="22" t="s">
        <v>315</v>
      </c>
      <c r="E5" s="22" t="s">
        <v>316</v>
      </c>
      <c r="F5" s="22" t="s">
        <v>322</v>
      </c>
      <c r="G5" s="22" t="s">
        <v>323</v>
      </c>
      <c r="H5" s="23" t="s">
        <v>324</v>
      </c>
    </row>
    <row r="6" spans="1:8" ht="28.5">
      <c r="A6" s="21" t="s">
        <v>325</v>
      </c>
      <c r="B6" s="22" t="s">
        <v>168</v>
      </c>
      <c r="C6" s="22" t="s">
        <v>326</v>
      </c>
      <c r="D6" s="22" t="s">
        <v>327</v>
      </c>
      <c r="E6" s="22" t="s">
        <v>316</v>
      </c>
      <c r="F6" s="22" t="s">
        <v>322</v>
      </c>
      <c r="G6" s="22" t="s">
        <v>328</v>
      </c>
      <c r="H6" s="23" t="s">
        <v>189</v>
      </c>
    </row>
    <row r="7" spans="1:8" ht="28.5">
      <c r="A7" s="21" t="s">
        <v>329</v>
      </c>
      <c r="B7" s="22" t="s">
        <v>190</v>
      </c>
      <c r="C7" s="22" t="s">
        <v>326</v>
      </c>
      <c r="D7" s="22" t="s">
        <v>330</v>
      </c>
      <c r="E7" s="22" t="s">
        <v>316</v>
      </c>
      <c r="F7" s="22" t="s">
        <v>322</v>
      </c>
      <c r="G7" s="22" t="s">
        <v>331</v>
      </c>
      <c r="H7" s="23" t="s">
        <v>205</v>
      </c>
    </row>
    <row r="8" spans="1:8" ht="28.5">
      <c r="A8" s="24" t="s">
        <v>332</v>
      </c>
      <c r="B8" s="25" t="s">
        <v>83</v>
      </c>
      <c r="C8" s="25" t="s">
        <v>333</v>
      </c>
      <c r="D8" s="25" t="s">
        <v>334</v>
      </c>
      <c r="E8" s="25" t="s">
        <v>335</v>
      </c>
      <c r="F8" s="25" t="s">
        <v>336</v>
      </c>
      <c r="G8" s="25" t="s">
        <v>337</v>
      </c>
      <c r="H8" s="26" t="s">
        <v>82</v>
      </c>
    </row>
  </sheetData>
  <mergeCells count="1">
    <mergeCell ref="A1:H1"/>
  </mergeCells>
  <conditionalFormatting sqref="E4:E200">
    <cfRule type="expression" dxfId="2" priority="1">
      <formula>E4="Aprovado"</formula>
    </cfRule>
    <cfRule type="expression" dxfId="1" priority="2">
      <formula>E4="Pendente diagnóstico"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Listas!$C$2:$C$5</xm:f>
          </x14:formula1>
          <xm:sqref>E4:E200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sqref="A1:D1"/>
    </sheetView>
  </sheetViews>
  <sheetFormatPr defaultRowHeight="14.25"/>
  <cols>
    <col min="1" max="1" width="16" style="8" customWidth="1"/>
    <col min="2" max="2" width="15" style="8" customWidth="1"/>
    <col min="3" max="3" width="28" style="8" customWidth="1"/>
    <col min="4" max="4" width="70" style="8" customWidth="1"/>
  </cols>
  <sheetData>
    <row r="1" spans="1:4" ht="27.95" customHeight="1">
      <c r="A1" s="37" t="s">
        <v>338</v>
      </c>
      <c r="B1" s="29"/>
      <c r="C1" s="29"/>
      <c r="D1" s="29"/>
    </row>
    <row r="3" spans="1:4" ht="15">
      <c r="A3" s="18" t="s">
        <v>339</v>
      </c>
      <c r="B3" s="19" t="s">
        <v>307</v>
      </c>
      <c r="C3" s="19" t="s">
        <v>340</v>
      </c>
      <c r="D3" s="20" t="s">
        <v>341</v>
      </c>
    </row>
    <row r="4" spans="1:4">
      <c r="A4" s="21" t="s">
        <v>65</v>
      </c>
      <c r="B4" s="22" t="s">
        <v>50</v>
      </c>
      <c r="C4" s="22" t="s">
        <v>342</v>
      </c>
      <c r="D4" s="23" t="s">
        <v>343</v>
      </c>
    </row>
    <row r="5" spans="1:4">
      <c r="A5" s="21" t="s">
        <v>319</v>
      </c>
      <c r="B5" s="22" t="s">
        <v>86</v>
      </c>
      <c r="C5" s="22" t="s">
        <v>344</v>
      </c>
      <c r="D5" s="23" t="s">
        <v>345</v>
      </c>
    </row>
    <row r="6" spans="1:4">
      <c r="A6" s="21" t="s">
        <v>346</v>
      </c>
      <c r="B6" s="22" t="s">
        <v>86</v>
      </c>
      <c r="C6" s="22" t="s">
        <v>344</v>
      </c>
      <c r="D6" s="23" t="s">
        <v>347</v>
      </c>
    </row>
    <row r="7" spans="1:4" ht="28.5">
      <c r="A7" s="21" t="s">
        <v>348</v>
      </c>
      <c r="B7" s="22" t="s">
        <v>134</v>
      </c>
      <c r="C7" s="22" t="s">
        <v>349</v>
      </c>
      <c r="D7" s="23" t="s">
        <v>350</v>
      </c>
    </row>
    <row r="8" spans="1:4">
      <c r="A8" s="21" t="s">
        <v>324</v>
      </c>
      <c r="B8" s="22" t="s">
        <v>134</v>
      </c>
      <c r="C8" s="22" t="s">
        <v>349</v>
      </c>
      <c r="D8" s="23" t="s">
        <v>351</v>
      </c>
    </row>
    <row r="9" spans="1:4">
      <c r="A9" s="21" t="s">
        <v>189</v>
      </c>
      <c r="B9" s="22" t="s">
        <v>168</v>
      </c>
      <c r="C9" s="22" t="s">
        <v>352</v>
      </c>
      <c r="D9" s="23" t="s">
        <v>353</v>
      </c>
    </row>
    <row r="10" spans="1:4">
      <c r="A10" s="24" t="s">
        <v>205</v>
      </c>
      <c r="B10" s="25" t="s">
        <v>190</v>
      </c>
      <c r="C10" s="25" t="s">
        <v>354</v>
      </c>
      <c r="D10" s="26" t="s">
        <v>355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3"/>
  <sheetViews>
    <sheetView workbookViewId="0">
      <selection sqref="A1:J1"/>
    </sheetView>
  </sheetViews>
  <sheetFormatPr defaultRowHeight="14.25"/>
  <cols>
    <col min="1" max="1" width="11" style="8" customWidth="1"/>
    <col min="2" max="2" width="18" style="8" customWidth="1"/>
    <col min="3" max="3" width="20" style="8" customWidth="1"/>
    <col min="4" max="5" width="25" style="8" customWidth="1"/>
    <col min="6" max="6" width="28" style="8" customWidth="1"/>
    <col min="7" max="8" width="22" style="8" customWidth="1"/>
    <col min="9" max="9" width="18" style="8" customWidth="1"/>
    <col min="10" max="10" width="60" style="8" customWidth="1"/>
  </cols>
  <sheetData>
    <row r="1" spans="1:10" ht="20.25">
      <c r="A1" s="37" t="s">
        <v>356</v>
      </c>
      <c r="B1" s="29"/>
      <c r="C1" s="29"/>
      <c r="D1" s="29"/>
      <c r="E1" s="29"/>
      <c r="F1" s="29"/>
      <c r="G1" s="29"/>
      <c r="H1" s="29"/>
      <c r="I1" s="29"/>
      <c r="J1" s="29"/>
    </row>
    <row r="3" spans="1:10" ht="15">
      <c r="A3" s="2" t="s">
        <v>29</v>
      </c>
      <c r="B3" s="15" t="s">
        <v>357</v>
      </c>
      <c r="C3" s="15" t="s">
        <v>30</v>
      </c>
      <c r="D3" s="15" t="s">
        <v>31</v>
      </c>
      <c r="E3" s="15" t="s">
        <v>358</v>
      </c>
      <c r="F3" s="15" t="s">
        <v>359</v>
      </c>
      <c r="G3" s="15" t="s">
        <v>155</v>
      </c>
      <c r="H3" s="15" t="s">
        <v>47</v>
      </c>
      <c r="I3" s="15" t="s">
        <v>49</v>
      </c>
      <c r="J3" s="3" t="s">
        <v>167</v>
      </c>
    </row>
    <row r="4" spans="1:10">
      <c r="A4" s="16" t="s">
        <v>50</v>
      </c>
      <c r="B4" s="10" t="s">
        <v>360</v>
      </c>
      <c r="C4" s="10" t="s">
        <v>51</v>
      </c>
      <c r="D4" s="10" t="s">
        <v>52</v>
      </c>
      <c r="E4" s="10" t="s">
        <v>361</v>
      </c>
      <c r="F4" s="10" t="s">
        <v>63</v>
      </c>
      <c r="G4" s="10" t="s">
        <v>63</v>
      </c>
      <c r="H4" s="10" t="s">
        <v>12</v>
      </c>
      <c r="I4" s="10" t="s">
        <v>65</v>
      </c>
      <c r="J4" s="11" t="s">
        <v>64</v>
      </c>
    </row>
    <row r="5" spans="1:10" ht="28.5">
      <c r="A5" s="16" t="s">
        <v>66</v>
      </c>
      <c r="B5" s="10" t="s">
        <v>360</v>
      </c>
      <c r="C5" s="10" t="s">
        <v>67</v>
      </c>
      <c r="D5" s="10" t="s">
        <v>68</v>
      </c>
      <c r="E5" s="10" t="s">
        <v>362</v>
      </c>
      <c r="F5" s="10" t="s">
        <v>79</v>
      </c>
      <c r="G5" s="10" t="s">
        <v>80</v>
      </c>
      <c r="H5" s="10" t="s">
        <v>8</v>
      </c>
      <c r="I5" s="10" t="s">
        <v>82</v>
      </c>
      <c r="J5" s="11" t="s">
        <v>81</v>
      </c>
    </row>
    <row r="6" spans="1:10">
      <c r="A6" s="16" t="s">
        <v>83</v>
      </c>
      <c r="B6" s="10" t="s">
        <v>360</v>
      </c>
      <c r="C6" s="10" t="s">
        <v>67</v>
      </c>
      <c r="D6" s="10" t="s">
        <v>68</v>
      </c>
      <c r="E6" s="10" t="s">
        <v>362</v>
      </c>
      <c r="F6" s="10" t="s">
        <v>63</v>
      </c>
      <c r="G6" s="10" t="s">
        <v>63</v>
      </c>
      <c r="H6" s="10" t="s">
        <v>10</v>
      </c>
      <c r="I6" s="10" t="s">
        <v>82</v>
      </c>
      <c r="J6" s="11" t="s">
        <v>85</v>
      </c>
    </row>
    <row r="7" spans="1:10" ht="57">
      <c r="A7" s="16" t="s">
        <v>86</v>
      </c>
      <c r="B7" s="10" t="s">
        <v>360</v>
      </c>
      <c r="C7" s="10" t="s">
        <v>87</v>
      </c>
      <c r="D7" s="10" t="s">
        <v>88</v>
      </c>
      <c r="E7" s="10" t="s">
        <v>363</v>
      </c>
      <c r="F7" s="10" t="s">
        <v>94</v>
      </c>
      <c r="G7" s="10" t="s">
        <v>95</v>
      </c>
      <c r="H7" s="10" t="s">
        <v>8</v>
      </c>
      <c r="I7" s="10" t="s">
        <v>100</v>
      </c>
      <c r="J7" s="11" t="s">
        <v>99</v>
      </c>
    </row>
    <row r="8" spans="1:10" ht="28.5">
      <c r="A8" s="16" t="s">
        <v>101</v>
      </c>
      <c r="B8" s="10" t="s">
        <v>360</v>
      </c>
      <c r="C8" s="10" t="s">
        <v>102</v>
      </c>
      <c r="D8" s="10" t="s">
        <v>103</v>
      </c>
      <c r="E8" s="10" t="s">
        <v>364</v>
      </c>
      <c r="F8" s="10" t="s">
        <v>63</v>
      </c>
      <c r="G8" s="10" t="s">
        <v>63</v>
      </c>
      <c r="H8" s="10" t="s">
        <v>12</v>
      </c>
      <c r="I8" s="10" t="s">
        <v>82</v>
      </c>
      <c r="J8" s="11" t="s">
        <v>109</v>
      </c>
    </row>
    <row r="9" spans="1:10" ht="28.5">
      <c r="A9" s="16" t="s">
        <v>110</v>
      </c>
      <c r="B9" s="10" t="s">
        <v>360</v>
      </c>
      <c r="C9" s="10" t="s">
        <v>111</v>
      </c>
      <c r="D9" s="10" t="s">
        <v>112</v>
      </c>
      <c r="E9" s="10" t="s">
        <v>365</v>
      </c>
      <c r="F9" s="10" t="s">
        <v>119</v>
      </c>
      <c r="G9" s="10" t="s">
        <v>120</v>
      </c>
      <c r="H9" s="10" t="s">
        <v>8</v>
      </c>
      <c r="I9" s="10" t="s">
        <v>82</v>
      </c>
      <c r="J9" s="11" t="s">
        <v>124</v>
      </c>
    </row>
    <row r="10" spans="1:10">
      <c r="A10" s="16" t="s">
        <v>125</v>
      </c>
      <c r="B10" s="10" t="s">
        <v>360</v>
      </c>
      <c r="C10" s="10" t="s">
        <v>126</v>
      </c>
      <c r="D10" s="10" t="s">
        <v>127</v>
      </c>
      <c r="E10" s="10" t="s">
        <v>366</v>
      </c>
      <c r="F10" s="10" t="s">
        <v>131</v>
      </c>
      <c r="G10" s="10" t="s">
        <v>120</v>
      </c>
      <c r="H10" s="10" t="s">
        <v>8</v>
      </c>
      <c r="I10" s="10" t="s">
        <v>82</v>
      </c>
      <c r="J10" s="11" t="s">
        <v>124</v>
      </c>
    </row>
    <row r="11" spans="1:10" ht="99.75">
      <c r="A11" s="16" t="s">
        <v>134</v>
      </c>
      <c r="B11" s="10" t="s">
        <v>360</v>
      </c>
      <c r="C11" s="10" t="s">
        <v>87</v>
      </c>
      <c r="D11" s="10" t="s">
        <v>135</v>
      </c>
      <c r="E11" s="10" t="s">
        <v>367</v>
      </c>
      <c r="F11" s="10" t="s">
        <v>141</v>
      </c>
      <c r="G11" s="10" t="s">
        <v>142</v>
      </c>
      <c r="H11" s="10" t="s">
        <v>8</v>
      </c>
      <c r="I11" s="10" t="s">
        <v>147</v>
      </c>
      <c r="J11" s="11" t="s">
        <v>146</v>
      </c>
    </row>
    <row r="12" spans="1:10" ht="28.5">
      <c r="A12" s="16" t="s">
        <v>168</v>
      </c>
      <c r="B12" s="10" t="s">
        <v>368</v>
      </c>
      <c r="C12" s="10" t="s">
        <v>169</v>
      </c>
      <c r="D12" s="10" t="s">
        <v>170</v>
      </c>
      <c r="E12" s="10" t="s">
        <v>175</v>
      </c>
      <c r="F12" s="10" t="s">
        <v>369</v>
      </c>
      <c r="G12" s="10" t="s">
        <v>370</v>
      </c>
      <c r="H12" s="10" t="s">
        <v>187</v>
      </c>
      <c r="I12" s="10" t="s">
        <v>189</v>
      </c>
      <c r="J12" s="11" t="s">
        <v>188</v>
      </c>
    </row>
    <row r="13" spans="1:10" ht="42.75">
      <c r="A13" s="17" t="s">
        <v>190</v>
      </c>
      <c r="B13" s="13" t="s">
        <v>368</v>
      </c>
      <c r="C13" s="13" t="s">
        <v>169</v>
      </c>
      <c r="D13" s="13" t="s">
        <v>191</v>
      </c>
      <c r="E13" s="13" t="s">
        <v>195</v>
      </c>
      <c r="F13" s="13" t="s">
        <v>371</v>
      </c>
      <c r="G13" s="13" t="s">
        <v>372</v>
      </c>
      <c r="H13" s="13" t="s">
        <v>187</v>
      </c>
      <c r="I13" s="13" t="s">
        <v>205</v>
      </c>
      <c r="J13" s="14" t="s">
        <v>204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2"/>
  <sheetViews>
    <sheetView workbookViewId="0"/>
  </sheetViews>
  <sheetFormatPr defaultRowHeight="14.25"/>
  <cols>
    <col min="1" max="1" width="18" style="8" customWidth="1"/>
    <col min="2" max="2" width="12" style="8" customWidth="1"/>
    <col min="3" max="3" width="14" style="8" customWidth="1"/>
    <col min="4" max="4" width="38" style="8" customWidth="1"/>
    <col min="5" max="5" width="42" style="8" customWidth="1"/>
    <col min="6" max="6" width="46" style="8" customWidth="1"/>
  </cols>
  <sheetData>
    <row r="1" spans="1:6" ht="20.25">
      <c r="A1" s="37" t="s">
        <v>373</v>
      </c>
      <c r="B1" s="29"/>
      <c r="C1" s="29"/>
      <c r="D1" s="29"/>
      <c r="E1" s="29"/>
      <c r="F1" s="29"/>
    </row>
    <row r="3" spans="1:6" ht="15">
      <c r="A3" s="2" t="s">
        <v>357</v>
      </c>
      <c r="B3" s="15" t="s">
        <v>374</v>
      </c>
      <c r="C3" s="15" t="s">
        <v>375</v>
      </c>
      <c r="D3" s="15" t="s">
        <v>376</v>
      </c>
      <c r="E3" s="15" t="s">
        <v>377</v>
      </c>
      <c r="F3" s="3" t="s">
        <v>378</v>
      </c>
    </row>
    <row r="4" spans="1:6" ht="28.5">
      <c r="A4" s="16" t="s">
        <v>360</v>
      </c>
      <c r="B4" s="10" t="s">
        <v>379</v>
      </c>
      <c r="C4" s="10" t="s">
        <v>380</v>
      </c>
      <c r="D4" s="10" t="s">
        <v>381</v>
      </c>
      <c r="E4" s="10" t="s">
        <v>382</v>
      </c>
      <c r="F4" s="11" t="s">
        <v>383</v>
      </c>
    </row>
    <row r="5" spans="1:6">
      <c r="A5" s="16" t="s">
        <v>368</v>
      </c>
      <c r="B5" s="10" t="s">
        <v>384</v>
      </c>
      <c r="C5" s="10" t="s">
        <v>385</v>
      </c>
      <c r="D5" s="10" t="s">
        <v>386</v>
      </c>
      <c r="E5" s="10" t="s">
        <v>387</v>
      </c>
      <c r="F5" s="11" t="s">
        <v>388</v>
      </c>
    </row>
    <row r="6" spans="1:6" ht="28.5">
      <c r="A6" s="16" t="s">
        <v>389</v>
      </c>
      <c r="B6" s="10" t="s">
        <v>390</v>
      </c>
      <c r="C6" s="10" t="s">
        <v>391</v>
      </c>
      <c r="D6" s="10" t="s">
        <v>392</v>
      </c>
      <c r="E6" s="10" t="s">
        <v>393</v>
      </c>
      <c r="F6" s="11" t="s">
        <v>394</v>
      </c>
    </row>
    <row r="7" spans="1:6" ht="28.5">
      <c r="A7" s="16" t="s">
        <v>155</v>
      </c>
      <c r="B7" s="10" t="s">
        <v>395</v>
      </c>
      <c r="C7" s="10" t="s">
        <v>396</v>
      </c>
      <c r="D7" s="10" t="s">
        <v>397</v>
      </c>
      <c r="E7" s="10" t="s">
        <v>398</v>
      </c>
      <c r="F7" s="11" t="s">
        <v>399</v>
      </c>
    </row>
    <row r="8" spans="1:6" ht="28.5">
      <c r="A8" s="16" t="s">
        <v>400</v>
      </c>
      <c r="B8" s="10" t="s">
        <v>401</v>
      </c>
      <c r="C8" s="10" t="s">
        <v>402</v>
      </c>
      <c r="D8" s="10" t="s">
        <v>403</v>
      </c>
      <c r="E8" s="10" t="s">
        <v>404</v>
      </c>
      <c r="F8" s="11" t="s">
        <v>405</v>
      </c>
    </row>
    <row r="9" spans="1:6" ht="28.5">
      <c r="A9" s="16" t="s">
        <v>47</v>
      </c>
      <c r="B9" s="10"/>
      <c r="C9" s="10"/>
      <c r="D9" s="10" t="s">
        <v>406</v>
      </c>
      <c r="E9" s="10" t="s">
        <v>407</v>
      </c>
      <c r="F9" s="11" t="s">
        <v>408</v>
      </c>
    </row>
    <row r="10" spans="1:6" ht="28.5">
      <c r="A10" s="16" t="s">
        <v>409</v>
      </c>
      <c r="B10" s="10"/>
      <c r="C10" s="10"/>
      <c r="D10" s="10" t="s">
        <v>410</v>
      </c>
      <c r="E10" s="10" t="s">
        <v>411</v>
      </c>
      <c r="F10" s="11" t="s">
        <v>412</v>
      </c>
    </row>
    <row r="11" spans="1:6" ht="28.5">
      <c r="A11" s="16" t="s">
        <v>413</v>
      </c>
      <c r="B11" s="10"/>
      <c r="C11" s="10"/>
      <c r="D11" s="10" t="s">
        <v>414</v>
      </c>
      <c r="E11" s="10" t="s">
        <v>415</v>
      </c>
      <c r="F11" s="11" t="s">
        <v>416</v>
      </c>
    </row>
    <row r="12" spans="1:6" ht="28.5">
      <c r="A12" s="17" t="s">
        <v>417</v>
      </c>
      <c r="B12" s="13"/>
      <c r="C12" s="13"/>
      <c r="D12" s="13" t="s">
        <v>418</v>
      </c>
      <c r="E12" s="13" t="s">
        <v>419</v>
      </c>
      <c r="F12" s="14" t="s">
        <v>420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workbookViewId="0"/>
  </sheetViews>
  <sheetFormatPr defaultRowHeight="14.25"/>
  <cols>
    <col min="1" max="1" width="22" style="8" customWidth="1"/>
    <col min="3" max="3" width="24" style="8" customWidth="1"/>
  </cols>
  <sheetData>
    <row r="1" spans="1:3" ht="15">
      <c r="A1" s="1" t="s">
        <v>421</v>
      </c>
      <c r="C1" s="1" t="s">
        <v>422</v>
      </c>
    </row>
    <row r="2" spans="1:3">
      <c r="A2" t="s">
        <v>8</v>
      </c>
      <c r="C2" t="s">
        <v>316</v>
      </c>
    </row>
    <row r="3" spans="1:3">
      <c r="A3" t="s">
        <v>10</v>
      </c>
      <c r="C3" t="s">
        <v>423</v>
      </c>
    </row>
    <row r="4" spans="1:3">
      <c r="A4" t="s">
        <v>12</v>
      </c>
      <c r="C4" t="s">
        <v>335</v>
      </c>
    </row>
    <row r="5" spans="1:3">
      <c r="A5" t="s">
        <v>424</v>
      </c>
      <c r="C5" t="s">
        <v>425</v>
      </c>
    </row>
    <row r="6" spans="1:3">
      <c r="A6" t="s">
        <v>426</v>
      </c>
    </row>
    <row r="7" spans="1:3">
      <c r="A7" t="s">
        <v>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Dashboard</vt:lpstr>
      <vt:lpstr>Placas-mãe</vt:lpstr>
      <vt:lpstr>Placas de vídeo</vt:lpstr>
      <vt:lpstr>Processadores</vt:lpstr>
      <vt:lpstr>Memórias</vt:lpstr>
      <vt:lpstr>Histórico de testes</vt:lpstr>
      <vt:lpstr>Índice de fotos</vt:lpstr>
      <vt:lpstr>Equipamentos</vt:lpstr>
      <vt:lpstr>Guia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Laerte Peotta de Melo</cp:lastModifiedBy>
  <dcterms:created xsi:type="dcterms:W3CDTF">2026-07-26T15:15:26Z</dcterms:created>
  <dcterms:modified xsi:type="dcterms:W3CDTF">2026-07-26T18:28:36Z</dcterms:modified>
</cp:coreProperties>
</file>