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lacas-mãe" sheetId="2" state="visible" r:id="rId2"/>
    <sheet xmlns:r="http://schemas.openxmlformats.org/officeDocument/2006/relationships" name="Placas de vídeo" sheetId="3" state="visible" r:id="rId3"/>
    <sheet xmlns:r="http://schemas.openxmlformats.org/officeDocument/2006/relationships" name="Processadores" sheetId="4" state="visible" r:id="rId4"/>
    <sheet xmlns:r="http://schemas.openxmlformats.org/officeDocument/2006/relationships" name="Memórias" sheetId="5" state="visible" r:id="rId5"/>
    <sheet xmlns:r="http://schemas.openxmlformats.org/officeDocument/2006/relationships" name="Histórico de testes" sheetId="6" state="visible" r:id="rId6"/>
    <sheet xmlns:r="http://schemas.openxmlformats.org/officeDocument/2006/relationships" name="Índice de fotos" sheetId="7" state="visible" r:id="rId7"/>
    <sheet xmlns:r="http://schemas.openxmlformats.org/officeDocument/2006/relationships" name="Equipamentos" sheetId="8" state="visible" r:id="rId8"/>
    <sheet xmlns:r="http://schemas.openxmlformats.org/officeDocument/2006/relationships" name="Guia" sheetId="9" state="visible" r:id="rId9"/>
    <sheet xmlns:r="http://schemas.openxmlformats.org/officeDocument/2006/relationships" name="Lista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F1F1F"/>
      <sz val="11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1"/>
  </cellStyleXfs>
  <cellXfs count="38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4" borderId="4" pivotButton="0" quotePrefix="0" xfId="0"/>
    <xf numFmtId="0" fontId="0" fillId="0" borderId="5" pivotButton="0" quotePrefix="0" xfId="0"/>
    <xf numFmtId="0" fontId="3" fillId="4" borderId="6" pivotButton="0" quotePrefix="0" xfId="0"/>
    <xf numFmtId="0" fontId="0" fillId="0" borderId="7" pivotButton="0" quotePrefix="0" xfId="0"/>
    <xf numFmtId="0" fontId="0" fillId="0" borderId="0" pivotButton="0" quotePrefix="0" xfId="0"/>
    <xf numFmtId="0" fontId="3" fillId="4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2" fillId="3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2" fillId="3" borderId="2" applyAlignment="1" pivotButton="0" quotePrefix="0" xfId="0">
      <alignment horizontal="center" vertical="top" wrapText="1"/>
    </xf>
    <xf numFmtId="0" fontId="2" fillId="3" borderId="11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0" borderId="0" pivotButton="0" quotePrefix="0" xfId="0"/>
    <xf numFmtId="0" fontId="0" fillId="0" borderId="9" applyAlignment="1" pivotButton="0" quotePrefix="0" xfId="0">
      <alignment wrapText="1"/>
    </xf>
    <xf numFmtId="0" fontId="0" fillId="0" borderId="1" pivotButton="0" quotePrefix="0" xfId="0"/>
    <xf numFmtId="0" fontId="0" fillId="0" borderId="9" pivotButton="0" quotePrefix="0" xfId="0"/>
    <xf numFmtId="0" fontId="0" fillId="0" borderId="10" applyAlignment="1" pivotButton="0" quotePrefix="0" xfId="0">
      <alignment wrapText="1"/>
    </xf>
    <xf numFmtId="0" fontId="0" fillId="0" borderId="14" pivotButton="0" quotePrefix="0" xfId="0"/>
    <xf numFmtId="0" fontId="0" fillId="0" borderId="10" pivotButton="0" quotePrefix="0" xfId="0"/>
    <xf numFmtId="0" fontId="1" fillId="2" borderId="15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/>
  </cellStyles>
  <dxfs count="7">
    <dxf>
      <alignment horizontal="general" vertical="top" wrapText="1"/>
      <border>
        <left style="thin">
          <color rgb="FFB7C9D6"/>
        </left>
        <right/>
        <top/>
        <bottom/>
        <vertical/>
        <horizontal/>
      </border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pt-BR"/>
              <a:t>Situação das placas-mãe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Quantidade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Dashboard!$D$4:$D$6</f>
              <strCache>
                <ptCount val="3"/>
                <pt idx="0">
                  <v>Funcionando</v>
                </pt>
                <pt idx="1">
                  <v>Liga, sem vídeo</v>
                </pt>
                <pt idx="2">
                  <v>Não testada</v>
                </pt>
              </strCache>
            </strRef>
          </cat>
          <val>
            <numRef>
              <f>Dashboard!$E$4:$E$6</f>
              <numCache>
                <formatCode>General</formatCode>
                <ptCount val="3"/>
                <pt idx="0">
                  <v>5</v>
                </pt>
                <pt idx="1">
                  <v>1</v>
                </pt>
                <pt idx="2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PlacasMae" displayName="TblPlacasMae" ref="A3:W11" headerRowCount="1">
  <tableColumns count="23">
    <tableColumn id="1" name="Código"/>
    <tableColumn id="2" name="Fabricante"/>
    <tableColumn id="3" name="Modelo"/>
    <tableColumn id="4" name="Identificação/Revisão"/>
    <tableColumn id="5" name="Formato"/>
    <tableColumn id="6" name="Socket"/>
    <tableColumn id="7" name="Chipset principal"/>
    <tableColumn id="8" name="Southbridge"/>
    <tableColumn id="9" name="Memória suportada"/>
    <tableColumn id="10" name="Slots de memória"/>
    <tableColumn id="11" name="Vídeo/expansão principal"/>
    <tableColumn id="12" name="Outros slots"/>
    <tableColumn id="13" name="Armazenamento"/>
    <tableColumn id="14" name="CPU instalada"/>
    <tableColumn id="15" name="RAM instalada"/>
    <tableColumn id="16" name="BIOS"/>
    <tableColumn id="17" name="Data BIOS"/>
    <tableColumn id="18" name="Sistema testado"/>
    <tableColumn id="19" name="Estado"/>
    <tableColumn id="20" name="Detalhamento técnico / observações"/>
    <tableColumn id="21" name="Fonte"/>
    <tableColumn id="22" name="Imagem" dataDxfId="0"/>
    <tableColumn id="23" name="Man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GPUs" displayName="TblGPUs" ref="A3:W5" headerRowCount="1">
  <tableColumns count="23">
    <tableColumn id="1" name="Código"/>
    <tableColumn id="2" name="Fabricante da placa"/>
    <tableColumn id="3" name="Modelo"/>
    <tableColumn id="4" name="Fabricante GPU"/>
    <tableColumn id="5" name="Codinome"/>
    <tableColumn id="6" name="Revisão"/>
    <tableColumn id="7" name="Litografia"/>
    <tableColumn id="8" name="Interface"/>
    <tableColumn id="9" name="Memória"/>
    <tableColumn id="10" name="Tipo memória"/>
    <tableColumn id="11" name="Barramento memória"/>
    <tableColumn id="12" name="Clock GPU"/>
    <tableColumn id="13" name="Clock memória"/>
    <tableColumn id="14" name="ROPs"/>
    <tableColumn id="15" name="TMUs"/>
    <tableColumn id="16" name="Shaders"/>
    <tableColumn id="17" name="ReBAR"/>
    <tableColumn id="18" name="PCI ID"/>
    <tableColumn id="19" name="Saídas"/>
    <tableColumn id="20" name="Tipo"/>
    <tableColumn id="21" name="Estado"/>
    <tableColumn id="22" name="Observações"/>
    <tableColumn id="23" name="Fo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PUs" displayName="TblCPUs" ref="A3:R8" headerRowCount="1">
  <tableColumns count="18">
    <tableColumn id="1" name="Código"/>
    <tableColumn id="2" name="Fabricante"/>
    <tableColumn id="3" name="Modelo"/>
    <tableColumn id="4" name="Codinome"/>
    <tableColumn id="5" name="Socket"/>
    <tableColumn id="6" name="Litografia"/>
    <tableColumn id="7" name="Stepping"/>
    <tableColumn id="8" name="SSPEC"/>
    <tableColumn id="9" name="Núcleos"/>
    <tableColumn id="10" name="Threads"/>
    <tableColumn id="11" name="Clock base"/>
    <tableColumn id="12" name="FSB/Barramento"/>
    <tableColumn id="13" name="Multiplicador"/>
    <tableColumn id="14" name="Cache L2"/>
    <tableColumn id="15" name="TDP"/>
    <tableColumn id="16" name="Instruções/recursos observados"/>
    <tableColumn id="17" name="Placa associada"/>
    <tableColumn id="18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AM" displayName="TblRAM" ref="A3:L10" headerRowCount="1">
  <tableColumns count="12">
    <tableColumn id="1" name="Código"/>
    <tableColumn id="2" name="Fabricante"/>
    <tableColumn id="3" name="Part number"/>
    <tableColumn id="4" name="Capacidade"/>
    <tableColumn id="5" name="Tipo"/>
    <tableColumn id="6" name="Classificação"/>
    <tableColumn id="7" name="Clock nominal"/>
    <tableColumn id="8" name="Tensão"/>
    <tableColumn id="9" name="ECC"/>
    <tableColumn id="10" name="Ranks"/>
    <tableColumn id="11" name="Placa associada"/>
    <tableColumn id="12" name="Observações/SP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estes" displayName="TblTestes" ref="A3:H8" headerRowCount="1">
  <tableColumns count="8">
    <tableColumn id="1" name="Código do teste"/>
    <tableColumn id="2" name="Item"/>
    <tableColumn id="3" name="Tipo de teste"/>
    <tableColumn id="4" name="Condição/cenário"/>
    <tableColumn id="5" name="Resultado"/>
    <tableColumn id="6" name="Sistema/ambiente"/>
    <tableColumn id="7" name="Conclusão"/>
    <tableColumn id="8" name="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otos" displayName="TblFotos" ref="A3:D10" headerRowCount="1">
  <tableColumns count="4">
    <tableColumn id="1" name="Referência"/>
    <tableColumn id="2" name="Item"/>
    <tableColumn id="3" name="Equipamento"/>
    <tableColumn id="4" name="Conteúdo das image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quipamentos" displayName="TblEquipamentos" ref="A3:J13" headerRowCount="1">
  <tableColumns count="10">
    <tableColumn id="1" name="Código"/>
    <tableColumn id="2" name="Categoria"/>
    <tableColumn id="3" name="Fabricante"/>
    <tableColumn id="4" name="Modelo"/>
    <tableColumn id="5" name="Plataforma"/>
    <tableColumn id="6" name="CPU/GPU principal"/>
    <tableColumn id="7" name="Memória"/>
    <tableColumn id="8" name="Estado"/>
    <tableColumn id="9" name="Fonte"/>
    <tableColumn id="10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:H1"/>
    </sheetView>
  </sheetViews>
  <sheetFormatPr baseColWidth="8" defaultRowHeight="14.25"/>
  <cols>
    <col width="24" customWidth="1" style="8" min="1" max="1"/>
    <col width="16" customWidth="1" style="8" min="2" max="8"/>
  </cols>
  <sheetData>
    <row r="1" ht="32.1" customHeight="1" s="8">
      <c r="A1" s="37" t="inlineStr">
        <is>
          <t>CATÁLOGO TÉCNICO — COLEÇÃO DE HARDWARE</t>
        </is>
      </c>
      <c r="I1" s="27" t="inlineStr">
        <is>
          <t>Imagem</t>
        </is>
      </c>
      <c r="J1" s="27" t="inlineStr">
        <is>
          <t>Manual</t>
        </is>
      </c>
    </row>
    <row r="3" ht="30" customHeight="1" s="8">
      <c r="A3" s="2" t="inlineStr">
        <is>
          <t>Indicador</t>
        </is>
      </c>
      <c r="B3" s="3" t="inlineStr">
        <is>
          <t>Valor</t>
        </is>
      </c>
      <c r="D3" s="2" t="inlineStr">
        <is>
          <t>Estado das placas-mãe</t>
        </is>
      </c>
      <c r="E3" s="3" t="inlineStr">
        <is>
          <t>Quantidade</t>
        </is>
      </c>
    </row>
    <row r="4" ht="15" customHeight="1" s="8">
      <c r="A4" s="4" t="inlineStr">
        <is>
          <t>Placas-mãe cadastradas</t>
        </is>
      </c>
      <c r="B4" s="5">
        <f>COUNTA('Placas-mãe'!A4:A100)</f>
        <v/>
      </c>
      <c r="D4" s="4" t="inlineStr">
        <is>
          <t>Funcionando</t>
        </is>
      </c>
      <c r="E4" s="5">
        <f>COUNTIF('Placas-mãe'!S4:S100,"Funcionando")</f>
        <v/>
      </c>
    </row>
    <row r="5" ht="15" customHeight="1" s="8">
      <c r="A5" s="4" t="inlineStr">
        <is>
          <t>Placas de vídeo cadastradas</t>
        </is>
      </c>
      <c r="B5" s="5">
        <f>COUNTA('Placas de vídeo'!A4:A100)</f>
        <v/>
      </c>
      <c r="D5" s="4" t="inlineStr">
        <is>
          <t>Liga, sem vídeo</t>
        </is>
      </c>
      <c r="E5" s="5">
        <f>COUNTIF('Placas-mãe'!S4:S100,"Liga, sem vídeo")</f>
        <v/>
      </c>
    </row>
    <row r="6" ht="15" customHeight="1" s="8">
      <c r="A6" s="4" t="inlineStr">
        <is>
          <t>Processadores identificados</t>
        </is>
      </c>
      <c r="B6" s="5">
        <f>COUNTA(Processadores!A4:A100)</f>
        <v/>
      </c>
      <c r="D6" s="4" t="inlineStr">
        <is>
          <t>Não testada</t>
        </is>
      </c>
      <c r="E6" s="5">
        <f>COUNTIF('Placas-mãe'!S4:S100,"Não testada")</f>
        <v/>
      </c>
    </row>
    <row r="7" ht="15" customHeight="1" s="8">
      <c r="A7" s="4" t="inlineStr">
        <is>
          <t>Módulos de memória identificados</t>
        </is>
      </c>
      <c r="B7" s="5">
        <f>COUNTA(Memórias!A4:A100)</f>
        <v/>
      </c>
      <c r="D7" s="4" t="inlineStr">
        <is>
          <t>Outros</t>
        </is>
      </c>
      <c r="E7" s="5">
        <f>E8-SUM(E4:E6)</f>
        <v/>
      </c>
    </row>
    <row r="8" ht="15" customHeight="1" s="8">
      <c r="A8" s="6" t="inlineStr">
        <is>
          <t>Itens funcionando/detectados</t>
        </is>
      </c>
      <c r="B8" s="7">
        <f>COUNTIF('Placas-mãe'!S4:S100,"Funcionando")+COUNTA('Placas de vídeo'!A4:A100)</f>
        <v/>
      </c>
      <c r="D8" s="6" t="inlineStr">
        <is>
          <t>Total</t>
        </is>
      </c>
      <c r="E8" s="7">
        <f>COUNTA('Placas-mãe'!A4:A100)</f>
        <v/>
      </c>
    </row>
    <row r="11">
      <c r="A11" s="34" t="inlineStr">
        <is>
          <t>Escopo e confiabilidade</t>
        </is>
      </c>
      <c r="B11" s="35" t="n"/>
      <c r="C11" s="35" t="n"/>
      <c r="D11" s="35" t="n"/>
      <c r="E11" s="35" t="n"/>
      <c r="F11" s="35" t="n"/>
      <c r="G11" s="35" t="n"/>
      <c r="H11" s="36" t="n"/>
    </row>
    <row r="12" ht="15" customHeight="1" s="8">
      <c r="A12" s="9" t="inlineStr">
        <is>
          <t>Fonte principal</t>
        </is>
      </c>
      <c r="B12" s="28" t="inlineStr">
        <is>
          <t>Documento “Anexos enviados – Cadastro de Hardware”, com 36 imagens.</t>
        </is>
      </c>
      <c r="H12" s="30" t="n"/>
    </row>
    <row r="13" ht="30" customHeight="1" s="8">
      <c r="A13" s="9" t="inlineStr">
        <is>
          <t>Dados detalhados confirmados</t>
        </is>
      </c>
      <c r="B13" s="28" t="inlineStr">
        <is>
          <t>Dell OptiPlex 380; Dell OptiPlex 745; XFX GeForce 7300 LE; XFX Radeon HD 4350; ASUS P4S800D-X em fotos físicas.</t>
        </is>
      </c>
      <c r="H13" s="30" t="n"/>
    </row>
    <row r="14" ht="30" customHeight="1" s="8">
      <c r="A14" s="9" t="inlineStr">
        <is>
          <t>Dados de cadastro anterior</t>
        </is>
      </c>
      <c r="B14" s="28" t="inlineStr">
        <is>
          <t>ECS G41T-M7 (duas unidades), Lenovo L-A780, ACC1800N-2C1P e CCE NM70-I.</t>
        </is>
      </c>
      <c r="H14" s="30" t="n"/>
    </row>
    <row r="15" ht="15" customHeight="1" s="8">
      <c r="A15" s="9" t="inlineStr">
        <is>
          <t>Regra adotada</t>
        </is>
      </c>
      <c r="B15" s="28" t="inlineStr">
        <is>
          <t>Campos sem evidência visual ou registro anterior confiável foram marcados como “Não confirmado”; nenhuma lacuna foi preenchida por suposição.</t>
        </is>
      </c>
      <c r="H15" s="30" t="n"/>
    </row>
    <row r="16" ht="15" customHeight="1" s="8">
      <c r="A16" s="12" t="inlineStr">
        <is>
          <t>Atualização</t>
        </is>
      </c>
      <c r="B16" s="31" t="inlineStr">
        <is>
          <t>Use as listas suspensas de estado e acrescente novos testes, componentes e referências de fotos nas abas correspondentes.</t>
        </is>
      </c>
      <c r="C16" s="32" t="n"/>
      <c r="D16" s="32" t="n"/>
      <c r="E16" s="32" t="n"/>
      <c r="F16" s="32" t="n"/>
      <c r="G16" s="32" t="n"/>
      <c r="H16" s="33" t="n"/>
    </row>
  </sheetData>
  <mergeCells count="7">
    <mergeCell ref="B14:H14"/>
    <mergeCell ref="B13:H13"/>
    <mergeCell ref="B12:H12"/>
    <mergeCell ref="B16:H16"/>
    <mergeCell ref="A11:H11"/>
    <mergeCell ref="B15:H15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tabSelected="1" topLeftCell="R1" workbookViewId="0">
      <selection activeCell="V5" sqref="V5:V11"/>
    </sheetView>
  </sheetViews>
  <sheetFormatPr baseColWidth="8" defaultRowHeight="14.25"/>
  <cols>
    <col width="11" customWidth="1" style="8" min="1" max="1"/>
    <col width="14" customWidth="1" style="8" min="2" max="2"/>
    <col width="24" customWidth="1" style="8" min="3" max="3"/>
    <col width="23" customWidth="1" style="8" min="4" max="4"/>
    <col width="15" customWidth="1" style="8" min="5" max="6"/>
    <col width="23" customWidth="1" style="8" min="7" max="7"/>
    <col width="18" customWidth="1" style="8" min="8" max="8"/>
    <col width="17" customWidth="1" style="8" min="9" max="9"/>
    <col width="15" customWidth="1" style="8" min="10" max="10"/>
    <col width="22" customWidth="1" style="8" min="11" max="11"/>
    <col width="18" customWidth="1" style="8" min="12" max="12"/>
    <col width="16" customWidth="1" style="8" min="13" max="13"/>
    <col width="24" customWidth="1" style="8" min="14" max="14"/>
    <col width="20" customWidth="1" style="8" min="15" max="15"/>
    <col width="12" customWidth="1" style="8" min="16" max="16"/>
    <col width="13" customWidth="1" style="8" min="17" max="17"/>
    <col width="27" customWidth="1" style="8" min="18" max="18"/>
    <col width="17" customWidth="1" style="8" min="19" max="19"/>
    <col width="58" customWidth="1" style="8" min="20" max="20"/>
    <col width="18" customWidth="1" style="8" min="21" max="21"/>
    <col width="10.75" customWidth="1" style="8" min="22" max="22"/>
    <col width="10.875" customWidth="1" style="8" min="23" max="23"/>
  </cols>
  <sheetData>
    <row r="1" ht="27.95" customHeight="1" s="8">
      <c r="A1" s="37" t="inlineStr">
        <is>
          <t>PLACAS-MÃE — INVENTÁRIO TÉCNICO</t>
        </is>
      </c>
    </row>
    <row r="3" ht="30" customHeight="1" s="8">
      <c r="A3" s="18" t="inlineStr">
        <is>
          <t>Código</t>
        </is>
      </c>
      <c r="B3" s="19" t="inlineStr">
        <is>
          <t>Fabricante</t>
        </is>
      </c>
      <c r="C3" s="19" t="inlineStr">
        <is>
          <t>Modelo</t>
        </is>
      </c>
      <c r="D3" s="19" t="inlineStr">
        <is>
          <t>Identificação/Revisão</t>
        </is>
      </c>
      <c r="E3" s="19" t="inlineStr">
        <is>
          <t>Formato</t>
        </is>
      </c>
      <c r="F3" s="19" t="inlineStr">
        <is>
          <t>Socket</t>
        </is>
      </c>
      <c r="G3" s="19" t="inlineStr">
        <is>
          <t>Chipset principal</t>
        </is>
      </c>
      <c r="H3" s="19" t="inlineStr">
        <is>
          <t>Southbridge</t>
        </is>
      </c>
      <c r="I3" s="19" t="inlineStr">
        <is>
          <t>Memória suportada</t>
        </is>
      </c>
      <c r="J3" s="19" t="inlineStr">
        <is>
          <t>Slots de memória</t>
        </is>
      </c>
      <c r="K3" s="19" t="inlineStr">
        <is>
          <t>Vídeo/expansão principal</t>
        </is>
      </c>
      <c r="L3" s="19" t="inlineStr">
        <is>
          <t>Outros slots</t>
        </is>
      </c>
      <c r="M3" s="19" t="inlineStr">
        <is>
          <t>Armazenamento</t>
        </is>
      </c>
      <c r="N3" s="19" t="inlineStr">
        <is>
          <t>CPU instalada</t>
        </is>
      </c>
      <c r="O3" s="19" t="inlineStr">
        <is>
          <t>RAM instalada</t>
        </is>
      </c>
      <c r="P3" s="19" t="inlineStr">
        <is>
          <t>BIOS</t>
        </is>
      </c>
      <c r="Q3" s="19" t="inlineStr">
        <is>
          <t>Data BIOS</t>
        </is>
      </c>
      <c r="R3" s="19" t="inlineStr">
        <is>
          <t>Sistema testado</t>
        </is>
      </c>
      <c r="S3" s="19" t="inlineStr">
        <is>
          <t>Estado</t>
        </is>
      </c>
      <c r="T3" s="19" t="inlineStr">
        <is>
          <t>Detalhamento técnico / observações</t>
        </is>
      </c>
      <c r="U3" s="20" t="inlineStr">
        <is>
          <t>Fonte</t>
        </is>
      </c>
      <c r="V3" s="20" t="inlineStr">
        <is>
          <t>Imagem</t>
        </is>
      </c>
      <c r="W3" s="20" t="inlineStr">
        <is>
          <t>Manual (URL)</t>
        </is>
      </c>
    </row>
    <row r="4" ht="28.5" customHeight="1" s="8">
      <c r="A4" s="21" t="inlineStr">
        <is>
          <t>MB-001</t>
        </is>
      </c>
      <c r="B4" s="22" t="inlineStr">
        <is>
          <t>ASUS</t>
        </is>
      </c>
      <c r="C4" s="22" t="inlineStr">
        <is>
          <t>P4S800D-X</t>
        </is>
      </c>
      <c r="D4" s="22" t="inlineStr">
        <is>
          <t>—</t>
        </is>
      </c>
      <c r="E4" s="22" t="inlineStr">
        <is>
          <t>ATX</t>
        </is>
      </c>
      <c r="F4" s="22" t="inlineStr">
        <is>
          <t>Socket 478</t>
        </is>
      </c>
      <c r="G4" s="22" t="inlineStr">
        <is>
          <t>SiS 648FX</t>
        </is>
      </c>
      <c r="H4" s="22" t="inlineStr">
        <is>
          <t>SiS 964</t>
        </is>
      </c>
      <c r="I4" s="22" t="inlineStr">
        <is>
          <t>DDR</t>
        </is>
      </c>
      <c r="J4" s="22" t="inlineStr">
        <is>
          <t>4 DIMM</t>
        </is>
      </c>
      <c r="K4" s="22" t="inlineStr">
        <is>
          <t>AGP 8x</t>
        </is>
      </c>
      <c r="L4" s="22" t="inlineStr">
        <is>
          <t>5 PCI</t>
        </is>
      </c>
      <c r="M4" s="22" t="inlineStr">
        <is>
          <t>IDE/SATA</t>
        </is>
      </c>
      <c r="N4" s="22" t="inlineStr">
        <is>
          <t>Não confirmado</t>
        </is>
      </c>
      <c r="O4" s="22" t="inlineStr">
        <is>
          <t>Não confirmado</t>
        </is>
      </c>
      <c r="P4" s="22" t="inlineStr">
        <is>
          <t>Não confirmado</t>
        </is>
      </c>
      <c r="Q4" s="22" t="inlineStr">
        <is>
          <t>Não confirmado</t>
        </is>
      </c>
      <c r="R4" s="22" t="inlineStr">
        <is>
          <t>Não confirmado</t>
        </is>
      </c>
      <c r="S4" s="22" t="inlineStr">
        <is>
          <t>Não testada</t>
        </is>
      </c>
      <c r="T4" s="22" t="inlineStr">
        <is>
          <t>Fotos físicas: anexos 1–3; chipset SiS 964 visível no anexo 2.</t>
        </is>
      </c>
      <c r="U4" s="23" t="inlineStr">
        <is>
          <t>Anexos 1–3</t>
        </is>
      </c>
      <c r="V4" s="21" t="n"/>
      <c r="W4" s="21" t="n"/>
    </row>
    <row r="5" ht="28.5" customHeight="1" s="8">
      <c r="A5" s="21" t="inlineStr">
        <is>
          <t>MB-002</t>
        </is>
      </c>
      <c r="B5" s="22" t="inlineStr">
        <is>
          <t>ECS</t>
        </is>
      </c>
      <c r="C5" s="22" t="inlineStr">
        <is>
          <t>G41T-M7 V1.0</t>
        </is>
      </c>
      <c r="D5" s="22" t="inlineStr">
        <is>
          <t>1ª unidade</t>
        </is>
      </c>
      <c r="E5" s="22" t="inlineStr">
        <is>
          <t>microATX</t>
        </is>
      </c>
      <c r="F5" s="22" t="inlineStr">
        <is>
          <t>LGA775</t>
        </is>
      </c>
      <c r="G5" s="22" t="inlineStr">
        <is>
          <t>Intel G41</t>
        </is>
      </c>
      <c r="H5" s="22" t="inlineStr">
        <is>
          <t>ICH7</t>
        </is>
      </c>
      <c r="I5" s="22" t="inlineStr">
        <is>
          <t>DDR3</t>
        </is>
      </c>
      <c r="J5" s="22" t="inlineStr">
        <is>
          <t>2 DIMM</t>
        </is>
      </c>
      <c r="K5" s="22" t="inlineStr">
        <is>
          <t>PCIe x16</t>
        </is>
      </c>
      <c r="L5" s="22" t="inlineStr">
        <is>
          <t>PCI/PCIe</t>
        </is>
      </c>
      <c r="M5" s="22" t="inlineStr">
        <is>
          <t>SATA</t>
        </is>
      </c>
      <c r="N5" s="22" t="inlineStr">
        <is>
          <t>Intel Core 2 Duo E8400</t>
        </is>
      </c>
      <c r="O5" s="22" t="inlineStr">
        <is>
          <t>4 GB DDR3</t>
        </is>
      </c>
      <c r="P5" s="22" t="inlineStr">
        <is>
          <t>Não confirmado</t>
        </is>
      </c>
      <c r="Q5" s="22" t="inlineStr">
        <is>
          <t>Não confirmado</t>
        </is>
      </c>
      <c r="R5" s="22" t="inlineStr">
        <is>
          <t>Não confirmado</t>
        </is>
      </c>
      <c r="S5" s="22" t="inlineStr">
        <is>
          <t>Funcionando</t>
        </is>
      </c>
      <c r="T5" s="22" t="inlineStr">
        <is>
          <t>Cadastro anterior do projeto; fotos/HWiNFO detalhado não aparecem no documento recebido.</t>
        </is>
      </c>
      <c r="U5" s="23" t="inlineStr">
        <is>
          <t>Cadastro anterior</t>
        </is>
      </c>
      <c r="V5" s="21" t="n"/>
      <c r="W5" s="21" t="n"/>
    </row>
    <row r="6" ht="28.5" customHeight="1" s="8">
      <c r="A6" s="21" t="inlineStr">
        <is>
          <t>MB-003</t>
        </is>
      </c>
      <c r="B6" s="22" t="inlineStr">
        <is>
          <t>ECS</t>
        </is>
      </c>
      <c r="C6" s="22" t="inlineStr">
        <is>
          <t>G41T-M7 V1.0</t>
        </is>
      </c>
      <c r="D6" s="22" t="inlineStr">
        <is>
          <t>2ª unidade</t>
        </is>
      </c>
      <c r="E6" s="22" t="inlineStr">
        <is>
          <t>microATX</t>
        </is>
      </c>
      <c r="F6" s="22" t="inlineStr">
        <is>
          <t>LGA775</t>
        </is>
      </c>
      <c r="G6" s="22" t="inlineStr">
        <is>
          <t>Intel G41</t>
        </is>
      </c>
      <c r="H6" s="22" t="inlineStr">
        <is>
          <t>ICH7</t>
        </is>
      </c>
      <c r="I6" s="22" t="inlineStr">
        <is>
          <t>DDR3</t>
        </is>
      </c>
      <c r="J6" s="22" t="inlineStr">
        <is>
          <t>2 DIMM</t>
        </is>
      </c>
      <c r="K6" s="22" t="inlineStr">
        <is>
          <t>PCIe x16</t>
        </is>
      </c>
      <c r="L6" s="22" t="inlineStr">
        <is>
          <t>PCI/PCIe</t>
        </is>
      </c>
      <c r="M6" s="22" t="inlineStr">
        <is>
          <t>SATA</t>
        </is>
      </c>
      <c r="N6" s="22" t="inlineStr">
        <is>
          <t>Não confirmado</t>
        </is>
      </c>
      <c r="O6" s="22" t="inlineStr">
        <is>
          <t>Não confirmado</t>
        </is>
      </c>
      <c r="P6" s="22" t="inlineStr">
        <is>
          <t>Não confirmado</t>
        </is>
      </c>
      <c r="Q6" s="22" t="inlineStr">
        <is>
          <t>Não confirmado</t>
        </is>
      </c>
      <c r="R6" s="22" t="inlineStr">
        <is>
          <t>Não confirmado</t>
        </is>
      </c>
      <c r="S6" s="22" t="inlineStr">
        <is>
          <t>Liga, sem vídeo</t>
        </is>
      </c>
      <c r="T6" s="22" t="inlineStr">
        <is>
          <t>Segunda unidade física; não deve ser confundida com a MB-002.</t>
        </is>
      </c>
      <c r="U6" s="23" t="inlineStr">
        <is>
          <t>Cadastro anterior</t>
        </is>
      </c>
      <c r="V6" s="21" t="n"/>
      <c r="W6" s="21" t="n"/>
    </row>
    <row r="7" ht="57" customHeight="1" s="8">
      <c r="A7" s="21" t="inlineStr">
        <is>
          <t>MB-004</t>
        </is>
      </c>
      <c r="B7" s="22" t="inlineStr">
        <is>
          <t>Dell</t>
        </is>
      </c>
      <c r="C7" s="22" t="inlineStr">
        <is>
          <t>OptiPlex 380</t>
        </is>
      </c>
      <c r="D7" s="22" t="inlineStr">
        <is>
          <t>DP/N 0HN7XN</t>
        </is>
      </c>
      <c r="E7" s="22" t="inlineStr">
        <is>
          <t>Proprietário Dell</t>
        </is>
      </c>
      <c r="F7" s="22" t="inlineStr">
        <is>
          <t>LGA775</t>
        </is>
      </c>
      <c r="G7" s="22" t="inlineStr">
        <is>
          <t>Intel G41 (Eaglelake)</t>
        </is>
      </c>
      <c r="H7" s="22" t="inlineStr">
        <is>
          <t>ICH7</t>
        </is>
      </c>
      <c r="I7" s="22" t="inlineStr">
        <is>
          <t>DDR3</t>
        </is>
      </c>
      <c r="J7" s="22" t="inlineStr">
        <is>
          <t>2 DIMM</t>
        </is>
      </c>
      <c r="K7" s="22" t="inlineStr">
        <is>
          <t>PCIe 2.0 x16</t>
        </is>
      </c>
      <c r="L7" s="22" t="inlineStr">
        <is>
          <t>2 PCI + PCIe x1</t>
        </is>
      </c>
      <c r="M7" s="22" t="inlineStr">
        <is>
          <t>SATA</t>
        </is>
      </c>
      <c r="N7" s="22" t="inlineStr">
        <is>
          <t>Intel Core 2 Duo E7500</t>
        </is>
      </c>
      <c r="O7" s="22" t="inlineStr">
        <is>
          <t>4 GB DDR3 dual-channel</t>
        </is>
      </c>
      <c r="P7" s="22" t="inlineStr">
        <is>
          <t>A05</t>
        </is>
      </c>
      <c r="Q7" s="22" t="inlineStr">
        <is>
          <t>24/02/2011</t>
        </is>
      </c>
      <c r="R7" s="22" t="inlineStr">
        <is>
          <t>Windows 11 Enterprise x64 22H2, build 22621.1483</t>
        </is>
      </c>
      <c r="S7" s="22" t="inlineStr">
        <is>
          <t>Funcionando</t>
        </is>
      </c>
      <c r="T7" s="22" t="inlineStr">
        <is>
          <t>HWiNFO: CPU E7500, 45 nm, stepping R0, Wolfdale-M, SSPEC SLGTE, 2c/2t, 2,93 GHz, L2 3 MB, TDP 65 W. Memória Micron 8JTF25664AZ-1G4D1, 2 GB por módulo, DDR3-1332/PC3-10700, 1,50 V. GPU integrada Intel GMA 4500.</t>
        </is>
      </c>
      <c r="U7" s="23" t="inlineStr">
        <is>
          <t>Anexos 4–8 e 9–14</t>
        </is>
      </c>
      <c r="V7" s="21" t="n"/>
      <c r="W7" s="21" t="n"/>
    </row>
    <row r="8" ht="28.5" customHeight="1" s="8">
      <c r="A8" s="21" t="inlineStr">
        <is>
          <t>MB-005</t>
        </is>
      </c>
      <c r="B8" s="22" t="inlineStr">
        <is>
          <t>Lenovo</t>
        </is>
      </c>
      <c r="C8" s="22" t="inlineStr">
        <is>
          <t>L-A780 Rev.1 / M2RS780MH</t>
        </is>
      </c>
      <c r="D8" s="22" t="inlineStr">
        <is>
          <t>Rev.1</t>
        </is>
      </c>
      <c r="E8" s="22" t="inlineStr">
        <is>
          <t>microATX</t>
        </is>
      </c>
      <c r="F8" s="22" t="inlineStr">
        <is>
          <t>AM2/AM2+</t>
        </is>
      </c>
      <c r="G8" s="22" t="inlineStr">
        <is>
          <t>AMD RS780</t>
        </is>
      </c>
      <c r="H8" s="22" t="inlineStr">
        <is>
          <t>SB700</t>
        </is>
      </c>
      <c r="I8" s="22" t="inlineStr">
        <is>
          <t>DDR2</t>
        </is>
      </c>
      <c r="J8" s="22" t="inlineStr">
        <is>
          <t>Não confirmado</t>
        </is>
      </c>
      <c r="K8" s="22" t="inlineStr">
        <is>
          <t>PCIe x16</t>
        </is>
      </c>
      <c r="L8" s="22" t="inlineStr">
        <is>
          <t>PCI/PCIe</t>
        </is>
      </c>
      <c r="M8" s="22" t="inlineStr">
        <is>
          <t>SATA</t>
        </is>
      </c>
      <c r="N8" s="22" t="inlineStr">
        <is>
          <t>Não confirmado</t>
        </is>
      </c>
      <c r="O8" s="22" t="inlineStr">
        <is>
          <t>Não confirmado</t>
        </is>
      </c>
      <c r="P8" s="22" t="inlineStr">
        <is>
          <t>Não confirmado</t>
        </is>
      </c>
      <c r="Q8" s="22" t="inlineStr">
        <is>
          <t>Não confirmado</t>
        </is>
      </c>
      <c r="R8" s="22" t="inlineStr">
        <is>
          <t>Não confirmado</t>
        </is>
      </c>
      <c r="S8" s="22" t="inlineStr">
        <is>
          <t>Não testada</t>
        </is>
      </c>
      <c r="T8" s="22" t="inlineStr">
        <is>
          <t>Cadastro anterior do projeto; sem HWiNFO identificável no documento recebido.</t>
        </is>
      </c>
      <c r="U8" s="23" t="inlineStr">
        <is>
          <t>Cadastro anterior</t>
        </is>
      </c>
      <c r="V8" s="21" t="n"/>
      <c r="W8" s="21" t="n"/>
    </row>
    <row r="9" ht="28.5" customHeight="1" s="8">
      <c r="A9" s="21" t="inlineStr">
        <is>
          <t>MB-006</t>
        </is>
      </c>
      <c r="B9" s="22" t="inlineStr">
        <is>
          <t>ACC</t>
        </is>
      </c>
      <c r="C9" s="22" t="inlineStr">
        <is>
          <t>ACC1800N-2C1P</t>
        </is>
      </c>
      <c r="D9" s="22" t="inlineStr">
        <is>
          <t>—</t>
        </is>
      </c>
      <c r="E9" s="22" t="inlineStr">
        <is>
          <t>Mini-ITX</t>
        </is>
      </c>
      <c r="F9" s="22" t="inlineStr">
        <is>
          <t>BGA integrado</t>
        </is>
      </c>
      <c r="G9" s="22" t="inlineStr">
        <is>
          <t>Intel Bay Trail-D</t>
        </is>
      </c>
      <c r="H9" s="22" t="inlineStr">
        <is>
          <t>Integrado</t>
        </is>
      </c>
      <c r="I9" s="22" t="inlineStr">
        <is>
          <t>DDR3L</t>
        </is>
      </c>
      <c r="J9" s="22" t="inlineStr">
        <is>
          <t>Não confirmado</t>
        </is>
      </c>
      <c r="K9" s="22" t="inlineStr">
        <is>
          <t>PCIe/mini PCIe conforme placa</t>
        </is>
      </c>
      <c r="L9" s="22" t="inlineStr">
        <is>
          <t>Não confirmado</t>
        </is>
      </c>
      <c r="M9" s="22" t="inlineStr">
        <is>
          <t>SATA</t>
        </is>
      </c>
      <c r="N9" s="22" t="inlineStr">
        <is>
          <t>Intel Celeron J1800</t>
        </is>
      </c>
      <c r="O9" s="22" t="inlineStr">
        <is>
          <t>4 GB Kingston DDR3L</t>
        </is>
      </c>
      <c r="P9" s="22" t="inlineStr">
        <is>
          <t>F2 AZ</t>
        </is>
      </c>
      <c r="Q9" s="22" t="inlineStr">
        <is>
          <t>06/03/2015</t>
        </is>
      </c>
      <c r="R9" s="22" t="inlineStr">
        <is>
          <t>Windows 10 Enterprise</t>
        </is>
      </c>
      <c r="S9" s="22" t="inlineStr">
        <is>
          <t>Funcionando</t>
        </is>
      </c>
      <c r="T9" s="22" t="inlineStr">
        <is>
          <t>Cadastro anterior do projeto; CPU integrada à placa.</t>
        </is>
      </c>
      <c r="U9" s="23" t="inlineStr">
        <is>
          <t>Cadastro anterior</t>
        </is>
      </c>
      <c r="V9" s="21" t="n"/>
      <c r="W9" s="21" t="n"/>
    </row>
    <row r="10">
      <c r="A10" s="21" t="inlineStr">
        <is>
          <t>MB-007</t>
        </is>
      </c>
      <c r="B10" s="22" t="inlineStr">
        <is>
          <t>CCE</t>
        </is>
      </c>
      <c r="C10" s="22" t="inlineStr">
        <is>
          <t>NM70-I V1.0</t>
        </is>
      </c>
      <c r="D10" s="22" t="inlineStr">
        <is>
          <t>V1.0</t>
        </is>
      </c>
      <c r="E10" s="22" t="inlineStr">
        <is>
          <t>Mini-ITX</t>
        </is>
      </c>
      <c r="F10" s="22" t="inlineStr">
        <is>
          <t>BGA integrado</t>
        </is>
      </c>
      <c r="G10" s="22" t="inlineStr">
        <is>
          <t>Intel NM70</t>
        </is>
      </c>
      <c r="H10" s="22" t="inlineStr">
        <is>
          <t>Integrado</t>
        </is>
      </c>
      <c r="I10" s="22" t="inlineStr">
        <is>
          <t>DDR3L</t>
        </is>
      </c>
      <c r="J10" s="22" t="inlineStr">
        <is>
          <t>Não confirmado</t>
        </is>
      </c>
      <c r="K10" s="22" t="inlineStr">
        <is>
          <t>PCIe conforme placa</t>
        </is>
      </c>
      <c r="L10" s="22" t="inlineStr">
        <is>
          <t>Não confirmado</t>
        </is>
      </c>
      <c r="M10" s="22" t="inlineStr">
        <is>
          <t>SATA</t>
        </is>
      </c>
      <c r="N10" s="22" t="inlineStr">
        <is>
          <t>Intel Celeron 847</t>
        </is>
      </c>
      <c r="O10" s="22" t="inlineStr">
        <is>
          <t>4 GB Kingston DDR3L</t>
        </is>
      </c>
      <c r="P10" s="22" t="inlineStr">
        <is>
          <t>UEFI</t>
        </is>
      </c>
      <c r="Q10" s="22" t="inlineStr">
        <is>
          <t>30/11/2012</t>
        </is>
      </c>
      <c r="R10" s="22" t="inlineStr">
        <is>
          <t>Windows 10 Enterprise</t>
        </is>
      </c>
      <c r="S10" s="22" t="inlineStr">
        <is>
          <t>Funcionando</t>
        </is>
      </c>
      <c r="T10" s="22" t="inlineStr">
        <is>
          <t>Cadastro anterior do projeto; CPU integrada à placa.</t>
        </is>
      </c>
      <c r="U10" s="23" t="inlineStr">
        <is>
          <t>Cadastro anterior</t>
        </is>
      </c>
      <c r="V10" s="21" t="n"/>
      <c r="W10" s="21" t="n"/>
    </row>
    <row r="11" ht="99.75" customHeight="1" s="8">
      <c r="A11" s="24" t="inlineStr">
        <is>
          <t>MB-008</t>
        </is>
      </c>
      <c r="B11" s="25" t="inlineStr">
        <is>
          <t>Dell</t>
        </is>
      </c>
      <c r="C11" s="25" t="inlineStr">
        <is>
          <t>OptiPlex 745</t>
        </is>
      </c>
      <c r="D11" s="25" t="inlineStr">
        <is>
          <t>0KT234 A01 / PCB DP/N UX762</t>
        </is>
      </c>
      <c r="E11" s="25" t="inlineStr">
        <is>
          <t>Proprietário Dell</t>
        </is>
      </c>
      <c r="F11" s="25" t="inlineStr">
        <is>
          <t>LGA775</t>
        </is>
      </c>
      <c r="G11" s="25" t="inlineStr">
        <is>
          <t>Intel Q965 (Broadwater-GC) rev. C1</t>
        </is>
      </c>
      <c r="H11" s="25" t="inlineStr">
        <is>
          <t>ICH8/R rev. B0</t>
        </is>
      </c>
      <c r="I11" s="25" t="inlineStr">
        <is>
          <t>DDR2</t>
        </is>
      </c>
      <c r="J11" s="25" t="inlineStr">
        <is>
          <t>4 DIMM</t>
        </is>
      </c>
      <c r="K11" s="25" t="inlineStr">
        <is>
          <t>PCIe 1.0 x16</t>
        </is>
      </c>
      <c r="L11" s="25" t="inlineStr">
        <is>
          <t>2 PCI + PCIe</t>
        </is>
      </c>
      <c r="M11" s="25" t="inlineStr">
        <is>
          <t>SATA</t>
        </is>
      </c>
      <c r="N11" s="25" t="inlineStr">
        <is>
          <t>Intel Pentium Dual-Core E2160</t>
        </is>
      </c>
      <c r="O11" s="25" t="inlineStr">
        <is>
          <t>2 GB DDR2</t>
        </is>
      </c>
      <c r="P11" s="25" t="inlineStr">
        <is>
          <t>2.3.1</t>
        </is>
      </c>
      <c r="Q11" s="25" t="inlineStr">
        <is>
          <t>21/05/2007</t>
        </is>
      </c>
      <c r="R11" s="25" t="inlineStr">
        <is>
          <t>Windows 10 Enterprise x64, build 19041.4713</t>
        </is>
      </c>
      <c r="S11" s="25" t="inlineStr">
        <is>
          <t>Funcionando</t>
        </is>
      </c>
      <c r="T11" s="25" t="inlineStr">
        <is>
          <t>CPU E2160: Conroe-1M, stepping M0, SSPEC SLA8Z, 65 nm, 2c/2t, 1,80 GHz, FSB 800, L2 1 MB, TDP 65 W. RAM: Samsung M3 78T2953EZ3-CE6 1 GB PC2-5300 + Smart Modular SG564288FG8N6KF-Z1 1 GB PC2-6400. Vídeo integrado Intel GMA 3000. Placa física também mostra DP/N BR-0CT103-48105-76G-0770 Rev. A04 em outra etiqueta; manter ambas as identificações até reconciliação física.</t>
        </is>
      </c>
      <c r="U11" s="26" t="inlineStr">
        <is>
          <t>Anexos 15–30</t>
        </is>
      </c>
      <c r="V11" s="24" t="n"/>
      <c r="W11" s="21" t="n"/>
    </row>
  </sheetData>
  <mergeCells count="1">
    <mergeCell ref="A1:U1"/>
  </mergeCells>
  <conditionalFormatting sqref="S4:S200">
    <cfRule type="expression" priority="1" dxfId="2">
      <formula>S4="Funcionando"</formula>
    </cfRule>
    <cfRule type="expression" priority="2" dxfId="1">
      <formula>S4="Liga, sem vídeo"</formula>
    </cfRule>
    <cfRule type="expression" priority="3" dxfId="4">
      <formula>S4="Não testada"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:W1"/>
    </sheetView>
  </sheetViews>
  <sheetFormatPr baseColWidth="8" defaultRowHeight="14.25"/>
  <cols>
    <col width="11" customWidth="1" style="8" min="1" max="1"/>
    <col width="22" customWidth="1" style="8" min="2" max="3"/>
    <col width="16" customWidth="1" style="8" min="4" max="4"/>
    <col width="17" customWidth="1" style="8" min="5" max="5"/>
    <col width="15" customWidth="1" style="8" min="6" max="6"/>
    <col width="12" customWidth="1" style="8" min="7" max="7"/>
    <col width="30" customWidth="1" style="8" min="8" max="8"/>
    <col width="13" customWidth="1" style="8" min="9" max="9"/>
    <col width="22" customWidth="1" style="8" min="10" max="10"/>
    <col width="18" customWidth="1" style="8" min="11" max="11"/>
    <col width="17" customWidth="1" style="8" min="12" max="12"/>
    <col width="25" customWidth="1" style="8" min="13" max="13"/>
    <col width="10" customWidth="1" style="8" min="14" max="15"/>
    <col width="18" customWidth="1" style="8" min="16" max="16"/>
    <col width="15" customWidth="1" style="8" min="17" max="17"/>
    <col width="25" customWidth="1" style="8" min="18" max="18"/>
    <col width="20" customWidth="1" style="8" min="19" max="19"/>
    <col width="13" customWidth="1" style="8" min="20" max="20"/>
    <col width="22" customWidth="1" style="8" min="21" max="21"/>
    <col width="45" customWidth="1" style="8" min="22" max="22"/>
    <col width="16" customWidth="1" style="8" min="23" max="23"/>
  </cols>
  <sheetData>
    <row r="1" ht="27.95" customHeight="1" s="8">
      <c r="A1" s="37" t="inlineStr">
        <is>
          <t>PLACAS DE VÍDEO — INVENTÁRIO TÉCNICO</t>
        </is>
      </c>
    </row>
    <row r="3" ht="30" customHeight="1" s="8">
      <c r="A3" s="18" t="inlineStr">
        <is>
          <t>Código</t>
        </is>
      </c>
      <c r="B3" s="19" t="inlineStr">
        <is>
          <t>Fabricante da placa</t>
        </is>
      </c>
      <c r="C3" s="19" t="inlineStr">
        <is>
          <t>Modelo</t>
        </is>
      </c>
      <c r="D3" s="19" t="inlineStr">
        <is>
          <t>Fabricante GPU</t>
        </is>
      </c>
      <c r="E3" s="19" t="inlineStr">
        <is>
          <t>Codinome</t>
        </is>
      </c>
      <c r="F3" s="19" t="inlineStr">
        <is>
          <t>Revisão</t>
        </is>
      </c>
      <c r="G3" s="19" t="inlineStr">
        <is>
          <t>Litografia</t>
        </is>
      </c>
      <c r="H3" s="19" t="inlineStr">
        <is>
          <t>Interface</t>
        </is>
      </c>
      <c r="I3" s="19" t="inlineStr">
        <is>
          <t>Memória</t>
        </is>
      </c>
      <c r="J3" s="19" t="inlineStr">
        <is>
          <t>Tipo memória</t>
        </is>
      </c>
      <c r="K3" s="19" t="inlineStr">
        <is>
          <t>Barramento memória</t>
        </is>
      </c>
      <c r="L3" s="19" t="inlineStr">
        <is>
          <t>Clock GPU</t>
        </is>
      </c>
      <c r="M3" s="19" t="inlineStr">
        <is>
          <t>Clock memória</t>
        </is>
      </c>
      <c r="N3" s="19" t="inlineStr">
        <is>
          <t>ROPs</t>
        </is>
      </c>
      <c r="O3" s="19" t="inlineStr">
        <is>
          <t>TMUs</t>
        </is>
      </c>
      <c r="P3" s="19" t="inlineStr">
        <is>
          <t>Shaders</t>
        </is>
      </c>
      <c r="Q3" s="19" t="inlineStr">
        <is>
          <t>ReBAR</t>
        </is>
      </c>
      <c r="R3" s="19" t="inlineStr">
        <is>
          <t>PCI ID</t>
        </is>
      </c>
      <c r="S3" s="19" t="inlineStr">
        <is>
          <t>Saídas</t>
        </is>
      </c>
      <c r="T3" s="19" t="inlineStr">
        <is>
          <t>Tipo</t>
        </is>
      </c>
      <c r="U3" s="19" t="inlineStr">
        <is>
          <t>Estado</t>
        </is>
      </c>
      <c r="V3" s="19" t="inlineStr">
        <is>
          <t>Observações</t>
        </is>
      </c>
      <c r="W3" s="20" t="inlineStr">
        <is>
          <t>Fonte</t>
        </is>
      </c>
    </row>
    <row r="4" ht="42.75" customHeight="1" s="8">
      <c r="A4" s="21" t="inlineStr">
        <is>
          <t>VG-001</t>
        </is>
      </c>
      <c r="B4" s="22" t="inlineStr">
        <is>
          <t>XFX Pine Group Inc.</t>
        </is>
      </c>
      <c r="C4" s="22" t="inlineStr">
        <is>
          <t>GeForce 7300 LE</t>
        </is>
      </c>
      <c r="D4" s="22" t="inlineStr">
        <is>
          <t>NVIDIA</t>
        </is>
      </c>
      <c r="E4" s="22" t="inlineStr">
        <is>
          <t>G72</t>
        </is>
      </c>
      <c r="F4" s="22" t="inlineStr">
        <is>
          <t>B1 / chipset A1</t>
        </is>
      </c>
      <c r="G4" s="22" t="inlineStr">
        <is>
          <t>90 nm</t>
        </is>
      </c>
      <c r="H4" s="22" t="inlineStr">
        <is>
          <t>PCIe 1.1 x16 (2,5 GT/s), operando x16</t>
        </is>
      </c>
      <c r="I4" s="22" t="inlineStr">
        <is>
          <t>256 MB</t>
        </is>
      </c>
      <c r="J4" s="22" t="inlineStr">
        <is>
          <t>DDR2 SDRAM</t>
        </is>
      </c>
      <c r="K4" s="22" t="inlineStr">
        <is>
          <t>64-bit</t>
        </is>
      </c>
      <c r="L4" s="22" t="inlineStr">
        <is>
          <t>199,3 MHz</t>
        </is>
      </c>
      <c r="M4" s="22" t="inlineStr">
        <is>
          <t>168,8 MHz (337,5 MHz efetivos)</t>
        </is>
      </c>
      <c r="N4" s="22" t="inlineStr">
        <is>
          <t>4</t>
        </is>
      </c>
      <c r="O4" s="22" t="inlineStr">
        <is>
          <t>—</t>
        </is>
      </c>
      <c r="P4" s="22" t="inlineStr">
        <is>
          <t>3 vertex shaders</t>
        </is>
      </c>
      <c r="Q4" s="22" t="inlineStr">
        <is>
          <t>Não suportado</t>
        </is>
      </c>
      <c r="R4" s="22" t="inlineStr">
        <is>
          <t>PCIVEN_10DE&amp;DEV_01D1</t>
        </is>
      </c>
      <c r="S4" s="22" t="inlineStr">
        <is>
          <t>VGA + DVI (conforme cadastro/fotos anteriores)</t>
        </is>
      </c>
      <c r="T4" s="22" t="inlineStr">
        <is>
          <t>Discreta</t>
        </is>
      </c>
      <c r="U4" s="22" t="inlineStr">
        <is>
          <t>Funcionando / detectada</t>
        </is>
      </c>
      <c r="V4" s="22" t="inlineStr">
        <is>
          <t>Testada no Dell OptiPlex 745 com Windows 10 Enterprise; fabricante da placa XFX.</t>
        </is>
      </c>
      <c r="W4" s="23" t="inlineStr">
        <is>
          <t>Anexos 31–33</t>
        </is>
      </c>
    </row>
    <row r="5" ht="42.75" customHeight="1" s="8">
      <c r="A5" s="24" t="inlineStr">
        <is>
          <t>VG-002</t>
        </is>
      </c>
      <c r="B5" s="25" t="inlineStr">
        <is>
          <t>XFX Pine Group Inc.</t>
        </is>
      </c>
      <c r="C5" s="25" t="inlineStr">
        <is>
          <t>Radeon HD 4350</t>
        </is>
      </c>
      <c r="D5" s="25" t="inlineStr">
        <is>
          <t>AMD/ATI</t>
        </is>
      </c>
      <c r="E5" s="25" t="inlineStr">
        <is>
          <t>RV710 / Luigi</t>
        </is>
      </c>
      <c r="F5" s="25" t="inlineStr">
        <is>
          <t>—</t>
        </is>
      </c>
      <c r="G5" s="25" t="inlineStr">
        <is>
          <t>55 nm</t>
        </is>
      </c>
      <c r="H5" s="25" t="inlineStr">
        <is>
          <t>PCIe 2.0 x16 (5,0 GT/s), operando x16 a 2,5 GT/s</t>
        </is>
      </c>
      <c r="I5" s="25" t="inlineStr">
        <is>
          <t>1 GB</t>
        </is>
      </c>
      <c r="J5" s="25" t="inlineStr">
        <is>
          <t>DDR2 SDRAM (Samsung indicado parcialmente)</t>
        </is>
      </c>
      <c r="K5" s="25" t="inlineStr">
        <is>
          <t>64-bit</t>
        </is>
      </c>
      <c r="L5" s="25" t="inlineStr">
        <is>
          <t>599,1 MHz</t>
        </is>
      </c>
      <c r="M5" s="25" t="inlineStr">
        <is>
          <t>396,0 MHz (792,0 MHz efetivos)</t>
        </is>
      </c>
      <c r="N5" s="25" t="inlineStr">
        <is>
          <t>2</t>
        </is>
      </c>
      <c r="O5" s="25" t="inlineStr">
        <is>
          <t>8</t>
        </is>
      </c>
      <c r="P5" s="25" t="inlineStr">
        <is>
          <t>80 unified shaders</t>
        </is>
      </c>
      <c r="Q5" s="25" t="inlineStr">
        <is>
          <t>Não suportado</t>
        </is>
      </c>
      <c r="R5" s="25" t="inlineStr">
        <is>
          <t>PCIVEN_1002&amp;DEV_954F</t>
        </is>
      </c>
      <c r="S5" s="25" t="inlineStr">
        <is>
          <t>VGA + DVI (conforme cadastro/fotos anteriores)</t>
        </is>
      </c>
      <c r="T5" s="25" t="inlineStr">
        <is>
          <t>Discreta</t>
        </is>
      </c>
      <c r="U5" s="25" t="inlineStr">
        <is>
          <t>Funcionando / detectada</t>
        </is>
      </c>
      <c r="V5" s="25" t="inlineStr">
        <is>
          <t>VBIOS 011.021.000.007.000000; testada no Windows 10 Enterprise.</t>
        </is>
      </c>
      <c r="W5" s="26" t="inlineStr">
        <is>
          <t>Anexos 34–36</t>
        </is>
      </c>
    </row>
  </sheetData>
  <mergeCells count="1">
    <mergeCell ref="A1:W1"/>
  </mergeCells>
  <conditionalFormatting sqref="U4:U200">
    <cfRule type="expression" priority="1" dxfId="2">
      <formula>ISNUMBER(SEARCH("Funcionando",U4))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4.25"/>
  <cols>
    <col width="11" customWidth="1" style="8" min="1" max="1"/>
    <col width="13" customWidth="1" style="8" min="2" max="2"/>
    <col width="23" customWidth="1" style="8" min="3" max="3"/>
    <col width="17" customWidth="1" style="8" min="4" max="4"/>
    <col width="13" customWidth="1" style="8" min="5" max="5"/>
    <col width="12" customWidth="1" style="8" min="6" max="6"/>
    <col width="11" customWidth="1" style="8" min="7" max="7"/>
    <col width="12" customWidth="1" style="8" min="8" max="8"/>
    <col width="10" customWidth="1" style="8" min="9" max="10"/>
    <col width="14" customWidth="1" style="8" min="11" max="11"/>
    <col width="17" customWidth="1" style="8" min="12" max="12"/>
    <col width="15" customWidth="1" style="8" min="13" max="13"/>
    <col width="13" customWidth="1" style="8" min="14" max="14"/>
    <col width="10" customWidth="1" style="8" min="15" max="15"/>
    <col width="48" customWidth="1" style="8" min="16" max="16"/>
    <col width="16" customWidth="1" style="8" min="17" max="18"/>
  </cols>
  <sheetData>
    <row r="1" ht="27.95" customHeight="1" s="8">
      <c r="A1" s="37" t="inlineStr">
        <is>
          <t>PROCESSADORES — INVENTÁRIO TÉCNICO</t>
        </is>
      </c>
    </row>
    <row r="3" ht="15" customHeight="1" s="8">
      <c r="A3" s="18" t="inlineStr">
        <is>
          <t>Código</t>
        </is>
      </c>
      <c r="B3" s="19" t="inlineStr">
        <is>
          <t>Fabricante</t>
        </is>
      </c>
      <c r="C3" s="19" t="inlineStr">
        <is>
          <t>Modelo</t>
        </is>
      </c>
      <c r="D3" s="19" t="inlineStr">
        <is>
          <t>Codinome</t>
        </is>
      </c>
      <c r="E3" s="19" t="inlineStr">
        <is>
          <t>Socket</t>
        </is>
      </c>
      <c r="F3" s="19" t="inlineStr">
        <is>
          <t>Litografia</t>
        </is>
      </c>
      <c r="G3" s="19" t="inlineStr">
        <is>
          <t>Stepping</t>
        </is>
      </c>
      <c r="H3" s="19" t="inlineStr">
        <is>
          <t>SSPEC</t>
        </is>
      </c>
      <c r="I3" s="19" t="inlineStr">
        <is>
          <t>Núcleos</t>
        </is>
      </c>
      <c r="J3" s="19" t="inlineStr">
        <is>
          <t>Threads</t>
        </is>
      </c>
      <c r="K3" s="19" t="inlineStr">
        <is>
          <t>Clock base</t>
        </is>
      </c>
      <c r="L3" s="19" t="inlineStr">
        <is>
          <t>FSB/Barramento</t>
        </is>
      </c>
      <c r="M3" s="19" t="inlineStr">
        <is>
          <t>Multiplicador</t>
        </is>
      </c>
      <c r="N3" s="19" t="inlineStr">
        <is>
          <t>Cache L2</t>
        </is>
      </c>
      <c r="O3" s="19" t="inlineStr">
        <is>
          <t>TDP</t>
        </is>
      </c>
      <c r="P3" s="19" t="inlineStr">
        <is>
          <t>Instruções/recursos observados</t>
        </is>
      </c>
      <c r="Q3" s="19" t="inlineStr">
        <is>
          <t>Placa associada</t>
        </is>
      </c>
      <c r="R3" s="20" t="inlineStr">
        <is>
          <t>Estado</t>
        </is>
      </c>
    </row>
    <row r="4" ht="28.5" customHeight="1" s="8">
      <c r="A4" s="21" t="inlineStr">
        <is>
          <t>CPU-001</t>
        </is>
      </c>
      <c r="B4" s="22" t="inlineStr">
        <is>
          <t>Intel</t>
        </is>
      </c>
      <c r="C4" s="22" t="inlineStr">
        <is>
          <t>Core 2 Duo E7500</t>
        </is>
      </c>
      <c r="D4" s="22" t="inlineStr">
        <is>
          <t>Wolfdale-M</t>
        </is>
      </c>
      <c r="E4" s="22" t="inlineStr">
        <is>
          <t>LGA775</t>
        </is>
      </c>
      <c r="F4" s="22" t="inlineStr">
        <is>
          <t>45 nm</t>
        </is>
      </c>
      <c r="G4" s="22" t="inlineStr">
        <is>
          <t>R0</t>
        </is>
      </c>
      <c r="H4" s="22" t="inlineStr">
        <is>
          <t>SLGTE</t>
        </is>
      </c>
      <c r="I4" s="22" t="inlineStr">
        <is>
          <t>2</t>
        </is>
      </c>
      <c r="J4" s="22" t="inlineStr">
        <is>
          <t>2</t>
        </is>
      </c>
      <c r="K4" s="22" t="inlineStr">
        <is>
          <t>2,93 GHz</t>
        </is>
      </c>
      <c r="L4" s="22" t="inlineStr">
        <is>
          <t>266,7 MHz</t>
        </is>
      </c>
      <c r="M4" s="22" t="inlineStr">
        <is>
          <t>x11</t>
        </is>
      </c>
      <c r="N4" s="22" t="inlineStr">
        <is>
          <t>3 MB</t>
        </is>
      </c>
      <c r="O4" s="22" t="inlineStr">
        <is>
          <t>65 W</t>
        </is>
      </c>
      <c r="P4" s="22" t="inlineStr">
        <is>
          <t>EM64T, EIST, MMX, SSE, SSE2, SSE3, SSSE3, SSE4.1, DEP, VMX</t>
        </is>
      </c>
      <c r="Q4" s="22" t="inlineStr">
        <is>
          <t>MB-004</t>
        </is>
      </c>
      <c r="R4" s="23" t="inlineStr">
        <is>
          <t>Funcionando</t>
        </is>
      </c>
    </row>
    <row r="5">
      <c r="A5" s="21" t="inlineStr">
        <is>
          <t>CPU-002</t>
        </is>
      </c>
      <c r="B5" s="22" t="inlineStr">
        <is>
          <t>Intel</t>
        </is>
      </c>
      <c r="C5" s="22" t="inlineStr">
        <is>
          <t>Pentium Dual-Core E2160</t>
        </is>
      </c>
      <c r="D5" s="22" t="inlineStr">
        <is>
          <t>Conroe-1M</t>
        </is>
      </c>
      <c r="E5" s="22" t="inlineStr">
        <is>
          <t>LGA775</t>
        </is>
      </c>
      <c r="F5" s="22" t="inlineStr">
        <is>
          <t>65 nm</t>
        </is>
      </c>
      <c r="G5" s="22" t="inlineStr">
        <is>
          <t>M0</t>
        </is>
      </c>
      <c r="H5" s="22" t="inlineStr">
        <is>
          <t>SLA8Z</t>
        </is>
      </c>
      <c r="I5" s="22" t="inlineStr">
        <is>
          <t>2</t>
        </is>
      </c>
      <c r="J5" s="22" t="inlineStr">
        <is>
          <t>2</t>
        </is>
      </c>
      <c r="K5" s="22" t="inlineStr">
        <is>
          <t>1,80 GHz</t>
        </is>
      </c>
      <c r="L5" s="22" t="inlineStr">
        <is>
          <t>200 MHz</t>
        </is>
      </c>
      <c r="M5" s="22" t="inlineStr">
        <is>
          <t>x9</t>
        </is>
      </c>
      <c r="N5" s="22" t="inlineStr">
        <is>
          <t>1 MB</t>
        </is>
      </c>
      <c r="O5" s="22" t="inlineStr">
        <is>
          <t>65 W</t>
        </is>
      </c>
      <c r="P5" s="22" t="inlineStr">
        <is>
          <t>EM64T, EIST, MMX, SSE, SSE2, SSE3, SSSE3, DEP</t>
        </is>
      </c>
      <c r="Q5" s="22" t="inlineStr">
        <is>
          <t>MB-008</t>
        </is>
      </c>
      <c r="R5" s="23" t="inlineStr">
        <is>
          <t>Funcionando</t>
        </is>
      </c>
    </row>
    <row r="6" ht="28.5" customHeight="1" s="8">
      <c r="A6" s="21" t="inlineStr">
        <is>
          <t>CPU-003</t>
        </is>
      </c>
      <c r="B6" s="22" t="inlineStr">
        <is>
          <t>Intel</t>
        </is>
      </c>
      <c r="C6" s="22" t="inlineStr">
        <is>
          <t>Core 2 Duo E8400</t>
        </is>
      </c>
      <c r="D6" s="22" t="inlineStr">
        <is>
          <t>Wolfdale</t>
        </is>
      </c>
      <c r="E6" s="22" t="inlineStr">
        <is>
          <t>LGA775</t>
        </is>
      </c>
      <c r="F6" s="22" t="inlineStr">
        <is>
          <t>45 nm</t>
        </is>
      </c>
      <c r="G6" s="22" t="inlineStr">
        <is>
          <t>Não confirmado</t>
        </is>
      </c>
      <c r="H6" s="22" t="inlineStr">
        <is>
          <t>Não confirmado</t>
        </is>
      </c>
      <c r="I6" s="22" t="inlineStr">
        <is>
          <t>2</t>
        </is>
      </c>
      <c r="J6" s="22" t="inlineStr">
        <is>
          <t>2</t>
        </is>
      </c>
      <c r="K6" s="22" t="inlineStr">
        <is>
          <t>3,00 GHz</t>
        </is>
      </c>
      <c r="L6" s="22" t="inlineStr">
        <is>
          <t>333 MHz</t>
        </is>
      </c>
      <c r="M6" s="22" t="inlineStr">
        <is>
          <t>x9</t>
        </is>
      </c>
      <c r="N6" s="22" t="inlineStr">
        <is>
          <t>6 MB</t>
        </is>
      </c>
      <c r="O6" s="22" t="inlineStr">
        <is>
          <t>65 W</t>
        </is>
      </c>
      <c r="P6" s="22" t="inlineStr">
        <is>
          <t>Não confirmado</t>
        </is>
      </c>
      <c r="Q6" s="22" t="inlineStr">
        <is>
          <t>MB-002</t>
        </is>
      </c>
      <c r="R6" s="23" t="inlineStr">
        <is>
          <t>Funcionando</t>
        </is>
      </c>
    </row>
    <row r="7" ht="28.5" customHeight="1" s="8">
      <c r="A7" s="21" t="inlineStr">
        <is>
          <t>CPU-004</t>
        </is>
      </c>
      <c r="B7" s="22" t="inlineStr">
        <is>
          <t>Intel</t>
        </is>
      </c>
      <c r="C7" s="22" t="inlineStr">
        <is>
          <t>Celeron J1800</t>
        </is>
      </c>
      <c r="D7" s="22" t="inlineStr">
        <is>
          <t>Bay Trail-D</t>
        </is>
      </c>
      <c r="E7" s="22" t="inlineStr">
        <is>
          <t>BGA</t>
        </is>
      </c>
      <c r="F7" s="22" t="inlineStr">
        <is>
          <t>22 nm</t>
        </is>
      </c>
      <c r="G7" s="22" t="inlineStr">
        <is>
          <t>Não confirmado</t>
        </is>
      </c>
      <c r="H7" s="22" t="inlineStr">
        <is>
          <t>Não confirmado</t>
        </is>
      </c>
      <c r="I7" s="22" t="inlineStr">
        <is>
          <t>2</t>
        </is>
      </c>
      <c r="J7" s="22" t="inlineStr">
        <is>
          <t>2</t>
        </is>
      </c>
      <c r="K7" s="22" t="inlineStr">
        <is>
          <t>2,41 GHz base</t>
        </is>
      </c>
      <c r="L7" s="22" t="inlineStr">
        <is>
          <t>Não aplicável</t>
        </is>
      </c>
      <c r="M7" s="22" t="inlineStr">
        <is>
          <t>Não confirmado</t>
        </is>
      </c>
      <c r="N7" s="22" t="inlineStr">
        <is>
          <t>1 MB</t>
        </is>
      </c>
      <c r="O7" s="22" t="inlineStr">
        <is>
          <t>10 W</t>
        </is>
      </c>
      <c r="P7" s="22" t="inlineStr">
        <is>
          <t>Não confirmado</t>
        </is>
      </c>
      <c r="Q7" s="22" t="inlineStr">
        <is>
          <t>MB-006</t>
        </is>
      </c>
      <c r="R7" s="23" t="inlineStr">
        <is>
          <t>Funcionando</t>
        </is>
      </c>
    </row>
    <row r="8" ht="28.5" customHeight="1" s="8">
      <c r="A8" s="24" t="inlineStr">
        <is>
          <t>CPU-005</t>
        </is>
      </c>
      <c r="B8" s="25" t="inlineStr">
        <is>
          <t>Intel</t>
        </is>
      </c>
      <c r="C8" s="25" t="inlineStr">
        <is>
          <t>Celeron 847</t>
        </is>
      </c>
      <c r="D8" s="25" t="inlineStr">
        <is>
          <t>Sandy Bridge</t>
        </is>
      </c>
      <c r="E8" s="25" t="inlineStr">
        <is>
          <t>BGA</t>
        </is>
      </c>
      <c r="F8" s="25" t="inlineStr">
        <is>
          <t>32 nm</t>
        </is>
      </c>
      <c r="G8" s="25" t="inlineStr">
        <is>
          <t>Não confirmado</t>
        </is>
      </c>
      <c r="H8" s="25" t="inlineStr">
        <is>
          <t>Não confirmado</t>
        </is>
      </c>
      <c r="I8" s="25" t="inlineStr">
        <is>
          <t>2</t>
        </is>
      </c>
      <c r="J8" s="25" t="inlineStr">
        <is>
          <t>2</t>
        </is>
      </c>
      <c r="K8" s="25" t="inlineStr">
        <is>
          <t>1,10 GHz</t>
        </is>
      </c>
      <c r="L8" s="25" t="inlineStr">
        <is>
          <t>Não aplicável</t>
        </is>
      </c>
      <c r="M8" s="25" t="inlineStr">
        <is>
          <t>Não confirmado</t>
        </is>
      </c>
      <c r="N8" s="25" t="inlineStr">
        <is>
          <t>2 MB</t>
        </is>
      </c>
      <c r="O8" s="25" t="inlineStr">
        <is>
          <t>17 W</t>
        </is>
      </c>
      <c r="P8" s="25" t="inlineStr">
        <is>
          <t>Não confirmado</t>
        </is>
      </c>
      <c r="Q8" s="25" t="inlineStr">
        <is>
          <t>MB-007</t>
        </is>
      </c>
      <c r="R8" s="26" t="inlineStr">
        <is>
          <t>Funcionando</t>
        </is>
      </c>
    </row>
  </sheetData>
  <mergeCells count="1">
    <mergeCell ref="A1:R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4.25"/>
  <cols>
    <col width="11" customWidth="1" style="8" min="1" max="1"/>
    <col width="16" customWidth="1" style="8" min="2" max="2"/>
    <col width="26" customWidth="1" style="8" min="3" max="3"/>
    <col width="13" customWidth="1" style="8" min="4" max="4"/>
    <col width="18" customWidth="1" style="8" min="5" max="5"/>
    <col width="24" customWidth="1" style="8" min="6" max="6"/>
    <col width="16" customWidth="1" style="8" min="7" max="7"/>
    <col width="11" customWidth="1" style="8" min="8" max="8"/>
    <col width="10" customWidth="1" style="8" min="9" max="9"/>
    <col width="11" customWidth="1" style="8" min="10" max="10"/>
    <col width="16" customWidth="1" style="8" min="11" max="11"/>
    <col width="58" customWidth="1" style="8" min="12" max="12"/>
  </cols>
  <sheetData>
    <row r="1" ht="27.95" customHeight="1" s="8">
      <c r="A1" s="37" t="inlineStr">
        <is>
          <t>MEMÓRIAS — INVENTÁRIO TÉCNICO</t>
        </is>
      </c>
    </row>
    <row r="3" ht="15" customHeight="1" s="8">
      <c r="A3" s="18" t="inlineStr">
        <is>
          <t>Código</t>
        </is>
      </c>
      <c r="B3" s="19" t="inlineStr">
        <is>
          <t>Fabricante</t>
        </is>
      </c>
      <c r="C3" s="19" t="inlineStr">
        <is>
          <t>Part number</t>
        </is>
      </c>
      <c r="D3" s="19" t="inlineStr">
        <is>
          <t>Capacidade</t>
        </is>
      </c>
      <c r="E3" s="19" t="inlineStr">
        <is>
          <t>Tipo</t>
        </is>
      </c>
      <c r="F3" s="19" t="inlineStr">
        <is>
          <t>Classificação</t>
        </is>
      </c>
      <c r="G3" s="19" t="inlineStr">
        <is>
          <t>Clock nominal</t>
        </is>
      </c>
      <c r="H3" s="19" t="inlineStr">
        <is>
          <t>Tensão</t>
        </is>
      </c>
      <c r="I3" s="19" t="inlineStr">
        <is>
          <t>ECC</t>
        </is>
      </c>
      <c r="J3" s="19" t="inlineStr">
        <is>
          <t>Ranks</t>
        </is>
      </c>
      <c r="K3" s="19" t="inlineStr">
        <is>
          <t>Placa associada</t>
        </is>
      </c>
      <c r="L3" s="20" t="inlineStr">
        <is>
          <t>Observações/SPD</t>
        </is>
      </c>
    </row>
    <row r="4" ht="28.5" customHeight="1" s="8">
      <c r="A4" s="21" t="inlineStr">
        <is>
          <t>RAM-001</t>
        </is>
      </c>
      <c r="B4" s="22" t="inlineStr">
        <is>
          <t>Micron</t>
        </is>
      </c>
      <c r="C4" s="22" t="inlineStr">
        <is>
          <t>8JTF25664AZ-1G4D1</t>
        </is>
      </c>
      <c r="D4" s="22" t="inlineStr">
        <is>
          <t>2 GB</t>
        </is>
      </c>
      <c r="E4" s="22" t="inlineStr">
        <is>
          <t>DDR3 UDIMM</t>
        </is>
      </c>
      <c r="F4" s="22" t="inlineStr">
        <is>
          <t>PC3-10700 / DDR3-1332</t>
        </is>
      </c>
      <c r="G4" s="22" t="inlineStr">
        <is>
          <t>667 MHz</t>
        </is>
      </c>
      <c r="H4" s="22" t="inlineStr">
        <is>
          <t>1,50 V</t>
        </is>
      </c>
      <c r="I4" s="22" t="inlineStr">
        <is>
          <t>Não</t>
        </is>
      </c>
      <c r="J4" s="22" t="inlineStr">
        <is>
          <t>Não confirmado</t>
        </is>
      </c>
      <c r="K4" s="22" t="inlineStr">
        <is>
          <t>MB-004</t>
        </is>
      </c>
      <c r="L4" s="23" t="inlineStr">
        <is>
          <t>Módulo 1; timings JEDEC visíveis: 666,7 MHz 9-9-9-24; 533,3 MHz 7-7-7-20; 400 MHz 6-6-6-15; 333,3 MHz 5-5-5-12.</t>
        </is>
      </c>
    </row>
    <row r="5" ht="28.5" customHeight="1" s="8">
      <c r="A5" s="21" t="inlineStr">
        <is>
          <t>RAM-002</t>
        </is>
      </c>
      <c r="B5" s="22" t="inlineStr">
        <is>
          <t>Micron</t>
        </is>
      </c>
      <c r="C5" s="22" t="inlineStr">
        <is>
          <t>8JTF25664AZ-1G4D1</t>
        </is>
      </c>
      <c r="D5" s="22" t="inlineStr">
        <is>
          <t>2 GB</t>
        </is>
      </c>
      <c r="E5" s="22" t="inlineStr">
        <is>
          <t>DDR3 UDIMM</t>
        </is>
      </c>
      <c r="F5" s="22" t="inlineStr">
        <is>
          <t>PC3-10700 / DDR3-1332</t>
        </is>
      </c>
      <c r="G5" s="22" t="inlineStr">
        <is>
          <t>667 MHz</t>
        </is>
      </c>
      <c r="H5" s="22" t="inlineStr">
        <is>
          <t>1,50 V</t>
        </is>
      </c>
      <c r="I5" s="22" t="inlineStr">
        <is>
          <t>Não</t>
        </is>
      </c>
      <c r="J5" s="22" t="inlineStr">
        <is>
          <t>Não confirmado</t>
        </is>
      </c>
      <c r="K5" s="22" t="inlineStr">
        <is>
          <t>MB-004</t>
        </is>
      </c>
      <c r="L5" s="23" t="inlineStr">
        <is>
          <t>Módulo 2; sistema em dual-channel, total 4 GB.</t>
        </is>
      </c>
    </row>
    <row r="6" ht="28.5" customHeight="1" s="8">
      <c r="A6" s="21" t="inlineStr">
        <is>
          <t>RAM-003</t>
        </is>
      </c>
      <c r="B6" s="22" t="inlineStr">
        <is>
          <t>Samsung</t>
        </is>
      </c>
      <c r="C6" s="22" t="inlineStr">
        <is>
          <t>M3 78T2953EZ3-CE6</t>
        </is>
      </c>
      <c r="D6" s="22" t="inlineStr">
        <is>
          <t>1 GB</t>
        </is>
      </c>
      <c r="E6" s="22" t="inlineStr">
        <is>
          <t>DDR2 UDIMM</t>
        </is>
      </c>
      <c r="F6" s="22" t="inlineStr">
        <is>
          <t>PC2-5300</t>
        </is>
      </c>
      <c r="G6" s="22" t="inlineStr">
        <is>
          <t>333 MHz</t>
        </is>
      </c>
      <c r="H6" s="22" t="inlineStr">
        <is>
          <t>1,80 V</t>
        </is>
      </c>
      <c r="I6" s="22" t="inlineStr">
        <is>
          <t>Não</t>
        </is>
      </c>
      <c r="J6" s="22" t="inlineStr">
        <is>
          <t>2 ranks</t>
        </is>
      </c>
      <c r="K6" s="22" t="inlineStr">
        <is>
          <t>MB-008</t>
        </is>
      </c>
      <c r="L6" s="23" t="inlineStr">
        <is>
          <t>Semana/ano 08/08; serial 18013508; JEDEC 200/266/333 MHz, CL 3/4/5.</t>
        </is>
      </c>
    </row>
    <row r="7" ht="28.5" customHeight="1" s="8">
      <c r="A7" s="21" t="inlineStr">
        <is>
          <t>RAM-004</t>
        </is>
      </c>
      <c r="B7" s="22" t="inlineStr">
        <is>
          <t>Smart Modular</t>
        </is>
      </c>
      <c r="C7" s="22" t="inlineStr">
        <is>
          <t>SG564288FG8N6KF-Z1</t>
        </is>
      </c>
      <c r="D7" s="22" t="inlineStr">
        <is>
          <t>1 GB</t>
        </is>
      </c>
      <c r="E7" s="22" t="inlineStr">
        <is>
          <t>DDR2 UDIMM</t>
        </is>
      </c>
      <c r="F7" s="22" t="inlineStr">
        <is>
          <t>PC2-6400</t>
        </is>
      </c>
      <c r="G7" s="22" t="inlineStr">
        <is>
          <t>400 MHz</t>
        </is>
      </c>
      <c r="H7" s="22" t="inlineStr">
        <is>
          <t>1,80 V</t>
        </is>
      </c>
      <c r="I7" s="22" t="inlineStr">
        <is>
          <t>Não</t>
        </is>
      </c>
      <c r="J7" s="22" t="inlineStr">
        <is>
          <t>1 rank</t>
        </is>
      </c>
      <c r="K7" s="22" t="inlineStr">
        <is>
          <t>MB-008</t>
        </is>
      </c>
      <c r="L7" s="23" t="inlineStr">
        <is>
          <t>SPD mostra JEDEC 266/333/400 MHz, CL 4/5/6; serial FFFFFFFF; campo semana/ano inválido 165/165.</t>
        </is>
      </c>
    </row>
    <row r="8" ht="28.5" customHeight="1" s="8">
      <c r="A8" s="21" t="inlineStr">
        <is>
          <t>RAM-005</t>
        </is>
      </c>
      <c r="B8" s="22" t="inlineStr">
        <is>
          <t>Kingston</t>
        </is>
      </c>
      <c r="C8" s="22" t="inlineStr">
        <is>
          <t>Não confirmado</t>
        </is>
      </c>
      <c r="D8" s="22" t="inlineStr">
        <is>
          <t>4 GB</t>
        </is>
      </c>
      <c r="E8" s="22" t="inlineStr">
        <is>
          <t>DDR3</t>
        </is>
      </c>
      <c r="F8" s="22" t="inlineStr">
        <is>
          <t>Não confirmado</t>
        </is>
      </c>
      <c r="G8" s="22" t="inlineStr">
        <is>
          <t>Não confirmado</t>
        </is>
      </c>
      <c r="H8" s="22" t="inlineStr">
        <is>
          <t>Não confirmado</t>
        </is>
      </c>
      <c r="I8" s="22" t="inlineStr">
        <is>
          <t>Não confirmado</t>
        </is>
      </c>
      <c r="J8" s="22" t="inlineStr">
        <is>
          <t>Não confirmado</t>
        </is>
      </c>
      <c r="K8" s="22" t="inlineStr">
        <is>
          <t>MB-002</t>
        </is>
      </c>
      <c r="L8" s="23" t="inlineStr">
        <is>
          <t>Cadastro anterior do projeto.</t>
        </is>
      </c>
    </row>
    <row r="9" ht="28.5" customHeight="1" s="8">
      <c r="A9" s="21" t="inlineStr">
        <is>
          <t>RAM-006</t>
        </is>
      </c>
      <c r="B9" s="22" t="inlineStr">
        <is>
          <t>Kingston</t>
        </is>
      </c>
      <c r="C9" s="22" t="inlineStr">
        <is>
          <t>Não confirmado</t>
        </is>
      </c>
      <c r="D9" s="22" t="inlineStr">
        <is>
          <t>4 GB</t>
        </is>
      </c>
      <c r="E9" s="22" t="inlineStr">
        <is>
          <t>DDR3L</t>
        </is>
      </c>
      <c r="F9" s="22" t="inlineStr">
        <is>
          <t>Não confirmado</t>
        </is>
      </c>
      <c r="G9" s="22" t="inlineStr">
        <is>
          <t>Não confirmado</t>
        </is>
      </c>
      <c r="H9" s="22" t="inlineStr">
        <is>
          <t>Não confirmado</t>
        </is>
      </c>
      <c r="I9" s="22" t="inlineStr">
        <is>
          <t>Não confirmado</t>
        </is>
      </c>
      <c r="J9" s="22" t="inlineStr">
        <is>
          <t>Não confirmado</t>
        </is>
      </c>
      <c r="K9" s="22" t="inlineStr">
        <is>
          <t>MB-006</t>
        </is>
      </c>
      <c r="L9" s="23" t="inlineStr">
        <is>
          <t>Cadastro anterior do projeto.</t>
        </is>
      </c>
    </row>
    <row r="10" ht="28.5" customHeight="1" s="8">
      <c r="A10" s="24" t="inlineStr">
        <is>
          <t>RAM-007</t>
        </is>
      </c>
      <c r="B10" s="25" t="inlineStr">
        <is>
          <t>Kingston</t>
        </is>
      </c>
      <c r="C10" s="25" t="inlineStr">
        <is>
          <t>Não confirmado</t>
        </is>
      </c>
      <c r="D10" s="25" t="inlineStr">
        <is>
          <t>4 GB</t>
        </is>
      </c>
      <c r="E10" s="25" t="inlineStr">
        <is>
          <t>DDR3L</t>
        </is>
      </c>
      <c r="F10" s="25" t="inlineStr">
        <is>
          <t>Não confirmado</t>
        </is>
      </c>
      <c r="G10" s="25" t="inlineStr">
        <is>
          <t>Não confirmado</t>
        </is>
      </c>
      <c r="H10" s="25" t="inlineStr">
        <is>
          <t>Não confirmado</t>
        </is>
      </c>
      <c r="I10" s="25" t="inlineStr">
        <is>
          <t>Não confirmado</t>
        </is>
      </c>
      <c r="J10" s="25" t="inlineStr">
        <is>
          <t>Não confirmado</t>
        </is>
      </c>
      <c r="K10" s="25" t="inlineStr">
        <is>
          <t>MB-007</t>
        </is>
      </c>
      <c r="L10" s="26" t="inlineStr">
        <is>
          <t>Cadastro anterior do projeto.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4.25"/>
  <cols>
    <col width="15" customWidth="1" style="8" min="1" max="2"/>
    <col width="30" customWidth="1" style="8" min="3" max="3"/>
    <col width="35" customWidth="1" style="8" min="4" max="4"/>
    <col width="20" customWidth="1" style="8" min="5" max="5"/>
    <col width="28" customWidth="1" style="8" min="6" max="6"/>
    <col width="55" customWidth="1" style="8" min="7" max="7"/>
    <col width="18" customWidth="1" style="8" min="8" max="8"/>
  </cols>
  <sheetData>
    <row r="1" ht="27.95" customHeight="1" s="8">
      <c r="A1" s="37" t="inlineStr">
        <is>
          <t>HISTÓRICO DE TESTES E DIAGNÓSTICOS</t>
        </is>
      </c>
    </row>
    <row r="3" ht="30" customHeight="1" s="8">
      <c r="A3" s="18" t="inlineStr">
        <is>
          <t>Código do teste</t>
        </is>
      </c>
      <c r="B3" s="19" t="inlineStr">
        <is>
          <t>Item</t>
        </is>
      </c>
      <c r="C3" s="19" t="inlineStr">
        <is>
          <t>Tipo de teste</t>
        </is>
      </c>
      <c r="D3" s="19" t="inlineStr">
        <is>
          <t>Condição/cenário</t>
        </is>
      </c>
      <c r="E3" s="19" t="inlineStr">
        <is>
          <t>Resultado</t>
        </is>
      </c>
      <c r="F3" s="19" t="inlineStr">
        <is>
          <t>Sistema/ambiente</t>
        </is>
      </c>
      <c r="G3" s="19" t="inlineStr">
        <is>
          <t>Conclusão</t>
        </is>
      </c>
      <c r="H3" s="20" t="inlineStr">
        <is>
          <t>Fonte</t>
        </is>
      </c>
    </row>
    <row r="4" ht="28.5" customHeight="1" s="8">
      <c r="A4" s="21" t="inlineStr">
        <is>
          <t>TEST-001</t>
        </is>
      </c>
      <c r="B4" s="22" t="inlineStr">
        <is>
          <t>MB-004</t>
        </is>
      </c>
      <c r="C4" s="22" t="inlineStr">
        <is>
          <t>Teste funcional com HWiNFO 64 v8.46-5960</t>
        </is>
      </c>
      <c r="D4" s="22" t="inlineStr">
        <is>
          <t>Inicialização e identificação completa</t>
        </is>
      </c>
      <c r="E4" s="22" t="inlineStr">
        <is>
          <t>Aprovado</t>
        </is>
      </c>
      <c r="F4" s="22" t="inlineStr">
        <is>
          <t>Windows 11 Enterprise x64 22H2</t>
        </is>
      </c>
      <c r="G4" s="22" t="inlineStr">
        <is>
          <t>CPU, chipset, memória e vídeo integrado reconhecidos.</t>
        </is>
      </c>
      <c r="H4" s="23" t="inlineStr">
        <is>
          <t>Anexos 4–8</t>
        </is>
      </c>
    </row>
    <row r="5" ht="28.5" customHeight="1" s="8">
      <c r="A5" s="21" t="inlineStr">
        <is>
          <t>TEST-002</t>
        </is>
      </c>
      <c r="B5" s="22" t="inlineStr">
        <is>
          <t>MB-008</t>
        </is>
      </c>
      <c r="C5" s="22" t="inlineStr">
        <is>
          <t>Teste funcional com HWiNFO 64 v8.46-5960 e CPU-Z 2.19.0 x64</t>
        </is>
      </c>
      <c r="D5" s="22" t="inlineStr">
        <is>
          <t>Inicialização e identificação completa</t>
        </is>
      </c>
      <c r="E5" s="22" t="inlineStr">
        <is>
          <t>Aprovado</t>
        </is>
      </c>
      <c r="F5" s="22" t="inlineStr">
        <is>
          <t>Windows 10 Enterprise x64</t>
        </is>
      </c>
      <c r="G5" s="22" t="inlineStr">
        <is>
          <t>CPU, chipset, BIOS, memória e vídeo integrado reconhecidos.</t>
        </is>
      </c>
      <c r="H5" s="23" t="inlineStr">
        <is>
          <t>Anexos 23–30</t>
        </is>
      </c>
    </row>
    <row r="6" ht="28.5" customHeight="1" s="8">
      <c r="A6" s="21" t="inlineStr">
        <is>
          <t>TEST-003</t>
        </is>
      </c>
      <c r="B6" s="22" t="inlineStr">
        <is>
          <t>VG-001</t>
        </is>
      </c>
      <c r="C6" s="22" t="inlineStr">
        <is>
          <t>Teste de detecção da GPU</t>
        </is>
      </c>
      <c r="D6" s="22" t="inlineStr">
        <is>
          <t>Instalada no MB-008 / OptiPlex 745</t>
        </is>
      </c>
      <c r="E6" s="22" t="inlineStr">
        <is>
          <t>Aprovado</t>
        </is>
      </c>
      <c r="F6" s="22" t="inlineStr">
        <is>
          <t>Windows 10 Enterprise x64</t>
        </is>
      </c>
      <c r="G6" s="22" t="inlineStr">
        <is>
          <t>GeForce 7300 LE detectada em PCIe x16; clocks e memória reconhecidos.</t>
        </is>
      </c>
      <c r="H6" s="23" t="inlineStr">
        <is>
          <t>Anexos 31–33</t>
        </is>
      </c>
    </row>
    <row r="7" ht="28.5" customHeight="1" s="8">
      <c r="A7" s="21" t="inlineStr">
        <is>
          <t>TEST-004</t>
        </is>
      </c>
      <c r="B7" s="22" t="inlineStr">
        <is>
          <t>VG-002</t>
        </is>
      </c>
      <c r="C7" s="22" t="inlineStr">
        <is>
          <t>Teste de detecção da GPU</t>
        </is>
      </c>
      <c r="D7" s="22" t="inlineStr">
        <is>
          <t>Instalada em plataforma Windows 10</t>
        </is>
      </c>
      <c r="E7" s="22" t="inlineStr">
        <is>
          <t>Aprovado</t>
        </is>
      </c>
      <c r="F7" s="22" t="inlineStr">
        <is>
          <t>Windows 10 Enterprise x64</t>
        </is>
      </c>
      <c r="G7" s="22" t="inlineStr">
        <is>
          <t>Radeon HD 4350 detectada; VBIOS, clocks, barramento e shaders reconhecidos.</t>
        </is>
      </c>
      <c r="H7" s="23" t="inlineStr">
        <is>
          <t>Anexos 34–36</t>
        </is>
      </c>
    </row>
    <row r="8" ht="28.5" customHeight="1" s="8">
      <c r="A8" s="24" t="inlineStr">
        <is>
          <t>TEST-005</t>
        </is>
      </c>
      <c r="B8" s="25" t="inlineStr">
        <is>
          <t>MB-003</t>
        </is>
      </c>
      <c r="C8" s="25" t="inlineStr">
        <is>
          <t>Teste de energização</t>
        </is>
      </c>
      <c r="D8" s="25" t="inlineStr">
        <is>
          <t>Placa liga, porém não apresenta vídeo</t>
        </is>
      </c>
      <c r="E8" s="25" t="inlineStr">
        <is>
          <t>Pendente diagnóstico</t>
        </is>
      </c>
      <c r="F8" s="25" t="inlineStr">
        <is>
          <t>Não informado</t>
        </is>
      </c>
      <c r="G8" s="25" t="inlineStr">
        <is>
          <t>Requer inspeção de RAM, CPU, BIOS, capacitores, alimentação e vídeo.</t>
        </is>
      </c>
      <c r="H8" s="26" t="inlineStr">
        <is>
          <t>Cadastro anterior</t>
        </is>
      </c>
    </row>
  </sheetData>
  <mergeCells count="1">
    <mergeCell ref="A1:H1"/>
  </mergeCells>
  <conditionalFormatting sqref="E4:E200">
    <cfRule type="expression" priority="1" dxfId="2">
      <formula>E4="Aprovado"</formula>
    </cfRule>
    <cfRule type="expression" priority="2" dxfId="1">
      <formula>E4="Pendente diagnóstico"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:D1"/>
    </sheetView>
  </sheetViews>
  <sheetFormatPr baseColWidth="8" defaultRowHeight="14.25"/>
  <cols>
    <col width="16" customWidth="1" style="8" min="1" max="1"/>
    <col width="15" customWidth="1" style="8" min="2" max="2"/>
    <col width="28" customWidth="1" style="8" min="3" max="3"/>
    <col width="70" customWidth="1" style="8" min="4" max="4"/>
  </cols>
  <sheetData>
    <row r="1" ht="27.95" customHeight="1" s="8">
      <c r="A1" s="37" t="inlineStr">
        <is>
          <t>ÍNDICE DOS ANEXOS FOTOGRÁFICOS</t>
        </is>
      </c>
    </row>
    <row r="3" ht="15" customHeight="1" s="8">
      <c r="A3" s="18" t="inlineStr">
        <is>
          <t>Referência</t>
        </is>
      </c>
      <c r="B3" s="19" t="inlineStr">
        <is>
          <t>Item</t>
        </is>
      </c>
      <c r="C3" s="19" t="inlineStr">
        <is>
          <t>Equipamento</t>
        </is>
      </c>
      <c r="D3" s="20" t="inlineStr">
        <is>
          <t>Conteúdo das imagens</t>
        </is>
      </c>
    </row>
    <row r="4">
      <c r="A4" s="21" t="inlineStr">
        <is>
          <t>Anexos 1–3</t>
        </is>
      </c>
      <c r="B4" s="22" t="inlineStr">
        <is>
          <t>MB-001</t>
        </is>
      </c>
      <c r="C4" s="22" t="inlineStr">
        <is>
          <t>ASUS P4S800D-X</t>
        </is>
      </c>
      <c r="D4" s="23" t="inlineStr">
        <is>
          <t>Vista geral, slots, chipset SiS 964 e layout físico.</t>
        </is>
      </c>
    </row>
    <row r="5">
      <c r="A5" s="21" t="inlineStr">
        <is>
          <t>Anexos 4–8</t>
        </is>
      </c>
      <c r="B5" s="22" t="inlineStr">
        <is>
          <t>MB-004</t>
        </is>
      </c>
      <c r="C5" s="22" t="inlineStr">
        <is>
          <t>Dell OptiPlex 380</t>
        </is>
      </c>
      <c r="D5" s="23" t="inlineStr">
        <is>
          <t>HWiNFO: CPU, placa-mãe, memória, GPU integrada e sistema operacional.</t>
        </is>
      </c>
    </row>
    <row r="6">
      <c r="A6" s="21" t="inlineStr">
        <is>
          <t>Anexos 9–14</t>
        </is>
      </c>
      <c r="B6" s="22" t="inlineStr">
        <is>
          <t>MB-004</t>
        </is>
      </c>
      <c r="C6" s="22" t="inlineStr">
        <is>
          <t>Dell OptiPlex 380</t>
        </is>
      </c>
      <c r="D6" s="23" t="inlineStr">
        <is>
          <t>Fotos físicas, etiquetas, PCB, conectores e identificação DP/N 0HN7XN.</t>
        </is>
      </c>
    </row>
    <row r="7" ht="28.5" customHeight="1" s="8">
      <c r="A7" s="21" t="inlineStr">
        <is>
          <t>Anexos 15–22</t>
        </is>
      </c>
      <c r="B7" s="22" t="inlineStr">
        <is>
          <t>MB-008</t>
        </is>
      </c>
      <c r="C7" s="22" t="inlineStr">
        <is>
          <t>Dell OptiPlex 745</t>
        </is>
      </c>
      <c r="D7" s="23" t="inlineStr">
        <is>
          <t>Fotos físicas, etiquetas, chipset NVIDIA auxiliar, socket, Super I/O e PCB DP/N UX762.</t>
        </is>
      </c>
    </row>
    <row r="8">
      <c r="A8" s="21" t="inlineStr">
        <is>
          <t>Anexos 23–30</t>
        </is>
      </c>
      <c r="B8" s="22" t="inlineStr">
        <is>
          <t>MB-008</t>
        </is>
      </c>
      <c r="C8" s="22" t="inlineStr">
        <is>
          <t>Dell OptiPlex 745</t>
        </is>
      </c>
      <c r="D8" s="23" t="inlineStr">
        <is>
          <t>HWiNFO/CPU-Z: CPU, chipset, BIOS, RAM, SPD e vídeo integrado.</t>
        </is>
      </c>
    </row>
    <row r="9">
      <c r="A9" s="21" t="inlineStr">
        <is>
          <t>Anexos 31–33</t>
        </is>
      </c>
      <c r="B9" s="22" t="inlineStr">
        <is>
          <t>VG-001</t>
        </is>
      </c>
      <c r="C9" s="22" t="inlineStr">
        <is>
          <t>XFX GeForce 7300 LE</t>
        </is>
      </c>
      <c r="D9" s="23" t="inlineStr">
        <is>
          <t>CPU-Z/HWiNFO com identificação, clocks, barramento, memória e PCI ID.</t>
        </is>
      </c>
    </row>
    <row r="10">
      <c r="A10" s="24" t="inlineStr">
        <is>
          <t>Anexos 34–36</t>
        </is>
      </c>
      <c r="B10" s="25" t="inlineStr">
        <is>
          <t>VG-002</t>
        </is>
      </c>
      <c r="C10" s="25" t="inlineStr">
        <is>
          <t>XFX Radeon HD 4350</t>
        </is>
      </c>
      <c r="D10" s="26" t="inlineStr">
        <is>
          <t>HWiNFO/CPU-Z com VBIOS, clocks, shaders, memória e PCI ID.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:J1"/>
    </sheetView>
  </sheetViews>
  <sheetFormatPr baseColWidth="8" defaultRowHeight="14.25"/>
  <cols>
    <col width="11" customWidth="1" style="8" min="1" max="1"/>
    <col width="18" customWidth="1" style="8" min="2" max="2"/>
    <col width="20" customWidth="1" style="8" min="3" max="3"/>
    <col width="25" customWidth="1" style="8" min="4" max="5"/>
    <col width="28" customWidth="1" style="8" min="6" max="6"/>
    <col width="22" customWidth="1" style="8" min="7" max="8"/>
    <col width="18" customWidth="1" style="8" min="9" max="9"/>
    <col width="60" customWidth="1" style="8" min="10" max="10"/>
  </cols>
  <sheetData>
    <row r="1" ht="20.25" customHeight="1" s="8">
      <c r="A1" s="37" t="inlineStr">
        <is>
          <t>VISÃO CONSOLIDADA DOS EQUIPAMENTOS</t>
        </is>
      </c>
    </row>
    <row r="3" ht="15" customHeight="1" s="8">
      <c r="A3" s="2" t="inlineStr">
        <is>
          <t>Código</t>
        </is>
      </c>
      <c r="B3" s="15" t="inlineStr">
        <is>
          <t>Categoria</t>
        </is>
      </c>
      <c r="C3" s="15" t="inlineStr">
        <is>
          <t>Fabricante</t>
        </is>
      </c>
      <c r="D3" s="15" t="inlineStr">
        <is>
          <t>Modelo</t>
        </is>
      </c>
      <c r="E3" s="15" t="inlineStr">
        <is>
          <t>Plataforma</t>
        </is>
      </c>
      <c r="F3" s="15" t="inlineStr">
        <is>
          <t>CPU/GPU principal</t>
        </is>
      </c>
      <c r="G3" s="15" t="inlineStr">
        <is>
          <t>Memória</t>
        </is>
      </c>
      <c r="H3" s="15" t="inlineStr">
        <is>
          <t>Estado</t>
        </is>
      </c>
      <c r="I3" s="15" t="inlineStr">
        <is>
          <t>Fonte</t>
        </is>
      </c>
      <c r="J3" s="3" t="inlineStr">
        <is>
          <t>Observações</t>
        </is>
      </c>
    </row>
    <row r="4">
      <c r="A4" s="16" t="inlineStr">
        <is>
          <t>MB-001</t>
        </is>
      </c>
      <c r="B4" s="10" t="inlineStr">
        <is>
          <t>Placa-mãe</t>
        </is>
      </c>
      <c r="C4" s="10" t="inlineStr">
        <is>
          <t>ASUS</t>
        </is>
      </c>
      <c r="D4" s="10" t="inlineStr">
        <is>
          <t>P4S800D-X</t>
        </is>
      </c>
      <c r="E4" s="10" t="inlineStr">
        <is>
          <t>Socket 478 / SiS 648FX</t>
        </is>
      </c>
      <c r="F4" s="10" t="inlineStr">
        <is>
          <t>Não confirmado</t>
        </is>
      </c>
      <c r="G4" s="10" t="inlineStr">
        <is>
          <t>Não confirmado</t>
        </is>
      </c>
      <c r="H4" s="10" t="inlineStr">
        <is>
          <t>Não testada</t>
        </is>
      </c>
      <c r="I4" s="10" t="inlineStr">
        <is>
          <t>Anexos 1–3</t>
        </is>
      </c>
      <c r="J4" s="11" t="inlineStr">
        <is>
          <t>Fotos físicas: anexos 1–3; chipset SiS 964 visível no anexo 2.</t>
        </is>
      </c>
    </row>
    <row r="5" ht="28.5" customHeight="1" s="8">
      <c r="A5" s="16" t="inlineStr">
        <is>
          <t>MB-002</t>
        </is>
      </c>
      <c r="B5" s="10" t="inlineStr">
        <is>
          <t>Placa-mãe</t>
        </is>
      </c>
      <c r="C5" s="10" t="inlineStr">
        <is>
          <t>ECS</t>
        </is>
      </c>
      <c r="D5" s="10" t="inlineStr">
        <is>
          <t>G41T-M7 V1.0</t>
        </is>
      </c>
      <c r="E5" s="10" t="inlineStr">
        <is>
          <t>LGA775 / Intel G41</t>
        </is>
      </c>
      <c r="F5" s="10" t="inlineStr">
        <is>
          <t>Intel Core 2 Duo E8400</t>
        </is>
      </c>
      <c r="G5" s="10" t="inlineStr">
        <is>
          <t>4 GB DDR3</t>
        </is>
      </c>
      <c r="H5" s="10" t="inlineStr">
        <is>
          <t>Funcionando</t>
        </is>
      </c>
      <c r="I5" s="10" t="inlineStr">
        <is>
          <t>Cadastro anterior</t>
        </is>
      </c>
      <c r="J5" s="11" t="inlineStr">
        <is>
          <t>Cadastro anterior do projeto; fotos/HWiNFO detalhado não aparecem no documento recebido.</t>
        </is>
      </c>
    </row>
    <row r="6">
      <c r="A6" s="16" t="inlineStr">
        <is>
          <t>MB-003</t>
        </is>
      </c>
      <c r="B6" s="10" t="inlineStr">
        <is>
          <t>Placa-mãe</t>
        </is>
      </c>
      <c r="C6" s="10" t="inlineStr">
        <is>
          <t>ECS</t>
        </is>
      </c>
      <c r="D6" s="10" t="inlineStr">
        <is>
          <t>G41T-M7 V1.0</t>
        </is>
      </c>
      <c r="E6" s="10" t="inlineStr">
        <is>
          <t>LGA775 / Intel G41</t>
        </is>
      </c>
      <c r="F6" s="10" t="inlineStr">
        <is>
          <t>Não confirmado</t>
        </is>
      </c>
      <c r="G6" s="10" t="inlineStr">
        <is>
          <t>Não confirmado</t>
        </is>
      </c>
      <c r="H6" s="10" t="inlineStr">
        <is>
          <t>Liga, sem vídeo</t>
        </is>
      </c>
      <c r="I6" s="10" t="inlineStr">
        <is>
          <t>Cadastro anterior</t>
        </is>
      </c>
      <c r="J6" s="11" t="inlineStr">
        <is>
          <t>Segunda unidade física; não deve ser confundida com a MB-002.</t>
        </is>
      </c>
    </row>
    <row r="7" ht="57" customHeight="1" s="8">
      <c r="A7" s="16" t="inlineStr">
        <is>
          <t>MB-004</t>
        </is>
      </c>
      <c r="B7" s="10" t="inlineStr">
        <is>
          <t>Placa-mãe</t>
        </is>
      </c>
      <c r="C7" s="10" t="inlineStr">
        <is>
          <t>Dell</t>
        </is>
      </c>
      <c r="D7" s="10" t="inlineStr">
        <is>
          <t>OptiPlex 380</t>
        </is>
      </c>
      <c r="E7" s="10" t="inlineStr">
        <is>
          <t>LGA775 / Intel G41 (Eaglelake)</t>
        </is>
      </c>
      <c r="F7" s="10" t="inlineStr">
        <is>
          <t>Intel Core 2 Duo E7500</t>
        </is>
      </c>
      <c r="G7" s="10" t="inlineStr">
        <is>
          <t>4 GB DDR3 dual-channel</t>
        </is>
      </c>
      <c r="H7" s="10" t="inlineStr">
        <is>
          <t>Funcionando</t>
        </is>
      </c>
      <c r="I7" s="10" t="inlineStr">
        <is>
          <t>Anexos 4–8 e 9–14</t>
        </is>
      </c>
      <c r="J7" s="11" t="inlineStr">
        <is>
          <t>HWiNFO: CPU E7500, 45 nm, stepping R0, Wolfdale-M, SSPEC SLGTE, 2c/2t, 2,93 GHz, L2 3 MB, TDP 65 W. Memória Micron 8JTF25664AZ-1G4D1, 2 GB por módulo, DDR3-1332/PC3-10700, 1,50 V. GPU integrada Intel GMA 4500.</t>
        </is>
      </c>
    </row>
    <row r="8" ht="28.5" customHeight="1" s="8">
      <c r="A8" s="16" t="inlineStr">
        <is>
          <t>MB-005</t>
        </is>
      </c>
      <c r="B8" s="10" t="inlineStr">
        <is>
          <t>Placa-mãe</t>
        </is>
      </c>
      <c r="C8" s="10" t="inlineStr">
        <is>
          <t>Lenovo</t>
        </is>
      </c>
      <c r="D8" s="10" t="inlineStr">
        <is>
          <t>L-A780 Rev.1 / M2RS780MH</t>
        </is>
      </c>
      <c r="E8" s="10" t="inlineStr">
        <is>
          <t>AM2/AM2+ / AMD RS780</t>
        </is>
      </c>
      <c r="F8" s="10" t="inlineStr">
        <is>
          <t>Não confirmado</t>
        </is>
      </c>
      <c r="G8" s="10" t="inlineStr">
        <is>
          <t>Não confirmado</t>
        </is>
      </c>
      <c r="H8" s="10" t="inlineStr">
        <is>
          <t>Não testada</t>
        </is>
      </c>
      <c r="I8" s="10" t="inlineStr">
        <is>
          <t>Cadastro anterior</t>
        </is>
      </c>
      <c r="J8" s="11" t="inlineStr">
        <is>
          <t>Cadastro anterior do projeto; sem HWiNFO identificável no documento recebido.</t>
        </is>
      </c>
    </row>
    <row r="9" ht="28.5" customHeight="1" s="8">
      <c r="A9" s="16" t="inlineStr">
        <is>
          <t>MB-006</t>
        </is>
      </c>
      <c r="B9" s="10" t="inlineStr">
        <is>
          <t>Placa-mãe</t>
        </is>
      </c>
      <c r="C9" s="10" t="inlineStr">
        <is>
          <t>ACC</t>
        </is>
      </c>
      <c r="D9" s="10" t="inlineStr">
        <is>
          <t>ACC1800N-2C1P</t>
        </is>
      </c>
      <c r="E9" s="10" t="inlineStr">
        <is>
          <t>BGA integrado / Intel Bay Trail-D</t>
        </is>
      </c>
      <c r="F9" s="10" t="inlineStr">
        <is>
          <t>Intel Celeron J1800</t>
        </is>
      </c>
      <c r="G9" s="10" t="inlineStr">
        <is>
          <t>4 GB Kingston DDR3L</t>
        </is>
      </c>
      <c r="H9" s="10" t="inlineStr">
        <is>
          <t>Funcionando</t>
        </is>
      </c>
      <c r="I9" s="10" t="inlineStr">
        <is>
          <t>Cadastro anterior</t>
        </is>
      </c>
      <c r="J9" s="11" t="inlineStr">
        <is>
          <t>Cadastro anterior do projeto; CPU integrada à placa.</t>
        </is>
      </c>
    </row>
    <row r="10">
      <c r="A10" s="16" t="inlineStr">
        <is>
          <t>MB-007</t>
        </is>
      </c>
      <c r="B10" s="10" t="inlineStr">
        <is>
          <t>Placa-mãe</t>
        </is>
      </c>
      <c r="C10" s="10" t="inlineStr">
        <is>
          <t>CCE</t>
        </is>
      </c>
      <c r="D10" s="10" t="inlineStr">
        <is>
          <t>NM70-I V1.0</t>
        </is>
      </c>
      <c r="E10" s="10" t="inlineStr">
        <is>
          <t>BGA integrado / Intel NM70</t>
        </is>
      </c>
      <c r="F10" s="10" t="inlineStr">
        <is>
          <t>Intel Celeron 847</t>
        </is>
      </c>
      <c r="G10" s="10" t="inlineStr">
        <is>
          <t>4 GB Kingston DDR3L</t>
        </is>
      </c>
      <c r="H10" s="10" t="inlineStr">
        <is>
          <t>Funcionando</t>
        </is>
      </c>
      <c r="I10" s="10" t="inlineStr">
        <is>
          <t>Cadastro anterior</t>
        </is>
      </c>
      <c r="J10" s="11" t="inlineStr">
        <is>
          <t>Cadastro anterior do projeto; CPU integrada à placa.</t>
        </is>
      </c>
    </row>
    <row r="11" ht="99.75" customHeight="1" s="8">
      <c r="A11" s="16" t="inlineStr">
        <is>
          <t>MB-008</t>
        </is>
      </c>
      <c r="B11" s="10" t="inlineStr">
        <is>
          <t>Placa-mãe</t>
        </is>
      </c>
      <c r="C11" s="10" t="inlineStr">
        <is>
          <t>Dell</t>
        </is>
      </c>
      <c r="D11" s="10" t="inlineStr">
        <is>
          <t>OptiPlex 745</t>
        </is>
      </c>
      <c r="E11" s="10" t="inlineStr">
        <is>
          <t>LGA775 / Intel Q965 (Broadwater-GC) rev. C1</t>
        </is>
      </c>
      <c r="F11" s="10" t="inlineStr">
        <is>
          <t>Intel Pentium Dual-Core E2160</t>
        </is>
      </c>
      <c r="G11" s="10" t="inlineStr">
        <is>
          <t>2 GB DDR2</t>
        </is>
      </c>
      <c r="H11" s="10" t="inlineStr">
        <is>
          <t>Funcionando</t>
        </is>
      </c>
      <c r="I11" s="10" t="inlineStr">
        <is>
          <t>Anexos 15–30</t>
        </is>
      </c>
      <c r="J11" s="11" t="inlineStr">
        <is>
          <t>CPU E2160: Conroe-1M, stepping M0, SSPEC SLA8Z, 65 nm, 2c/2t, 1,80 GHz, FSB 800, L2 1 MB, TDP 65 W. RAM: Samsung M3 78T2953EZ3-CE6 1 GB PC2-5300 + Smart Modular SG564288FG8N6KF-Z1 1 GB PC2-6400. Vídeo integrado Intel GMA 3000. Placa física também mostra DP/N BR-0CT103-48105-76G-0770 Rev. A04 em outra etiqueta; manter ambas as identificações até reconciliação física.</t>
        </is>
      </c>
    </row>
    <row r="12" ht="28.5" customHeight="1" s="8">
      <c r="A12" s="16" t="inlineStr">
        <is>
          <t>VG-001</t>
        </is>
      </c>
      <c r="B12" s="10" t="inlineStr">
        <is>
          <t>Placa de vídeo</t>
        </is>
      </c>
      <c r="C12" s="10" t="inlineStr">
        <is>
          <t>XFX Pine Group Inc.</t>
        </is>
      </c>
      <c r="D12" s="10" t="inlineStr">
        <is>
          <t>GeForce 7300 LE</t>
        </is>
      </c>
      <c r="E12" s="10" t="inlineStr">
        <is>
          <t>PCIe 1.1 x16 (2,5 GT/s), operando x16</t>
        </is>
      </c>
      <c r="F12" s="10" t="inlineStr">
        <is>
          <t>NVIDIA G72</t>
        </is>
      </c>
      <c r="G12" s="10" t="inlineStr">
        <is>
          <t>256 MB DDR2 SDRAM</t>
        </is>
      </c>
      <c r="H12" s="10" t="inlineStr">
        <is>
          <t>Funcionando / detectada</t>
        </is>
      </c>
      <c r="I12" s="10" t="inlineStr">
        <is>
          <t>Anexos 31–33</t>
        </is>
      </c>
      <c r="J12" s="11" t="inlineStr">
        <is>
          <t>Testada no Dell OptiPlex 745 com Windows 10 Enterprise; fabricante da placa XFX.</t>
        </is>
      </c>
    </row>
    <row r="13" ht="42.75" customHeight="1" s="8">
      <c r="A13" s="17" t="inlineStr">
        <is>
          <t>VG-002</t>
        </is>
      </c>
      <c r="B13" s="13" t="inlineStr">
        <is>
          <t>Placa de vídeo</t>
        </is>
      </c>
      <c r="C13" s="13" t="inlineStr">
        <is>
          <t>XFX Pine Group Inc.</t>
        </is>
      </c>
      <c r="D13" s="13" t="inlineStr">
        <is>
          <t>Radeon HD 4350</t>
        </is>
      </c>
      <c r="E13" s="13" t="inlineStr">
        <is>
          <t>PCIe 2.0 x16 (5,0 GT/s), operando x16 a 2,5 GT/s</t>
        </is>
      </c>
      <c r="F13" s="13" t="inlineStr">
        <is>
          <t>AMD/ATI RV710 / Luigi</t>
        </is>
      </c>
      <c r="G13" s="13" t="inlineStr">
        <is>
          <t>1 GB DDR2 SDRAM (Samsung indicado parcialmente)</t>
        </is>
      </c>
      <c r="H13" s="13" t="inlineStr">
        <is>
          <t>Funcionando / detectada</t>
        </is>
      </c>
      <c r="I13" s="13" t="inlineStr">
        <is>
          <t>Anexos 34–36</t>
        </is>
      </c>
      <c r="J13" s="14" t="inlineStr">
        <is>
          <t>VBIOS 011.021.000.007.000000; testada no Windows 10 Enterprise.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4.25"/>
  <cols>
    <col width="18" customWidth="1" style="8" min="1" max="1"/>
    <col width="12" customWidth="1" style="8" min="2" max="2"/>
    <col width="14" customWidth="1" style="8" min="3" max="3"/>
    <col width="38" customWidth="1" style="8" min="4" max="4"/>
    <col width="42" customWidth="1" style="8" min="5" max="5"/>
    <col width="46" customWidth="1" style="8" min="6" max="6"/>
  </cols>
  <sheetData>
    <row r="1" ht="20.25" customHeight="1" s="8">
      <c r="A1" s="37" t="inlineStr">
        <is>
          <t>GUIA DE CADASTRO E PADRONIZAÇÃO</t>
        </is>
      </c>
    </row>
    <row r="3" ht="15" customHeight="1" s="8">
      <c r="A3" s="2" t="inlineStr">
        <is>
          <t>Categoria</t>
        </is>
      </c>
      <c r="B3" s="15" t="inlineStr">
        <is>
          <t>Prefixo</t>
        </is>
      </c>
      <c r="C3" s="15" t="inlineStr">
        <is>
          <t>Exemplo</t>
        </is>
      </c>
      <c r="D3" s="15" t="inlineStr">
        <is>
          <t>Quando criar novo código</t>
        </is>
      </c>
      <c r="E3" s="15" t="inlineStr">
        <is>
          <t>Campos mínimos</t>
        </is>
      </c>
      <c r="F3" s="3" t="inlineStr">
        <is>
          <t>Observação</t>
        </is>
      </c>
    </row>
    <row r="4" ht="28.5" customHeight="1" s="8">
      <c r="A4" s="16" t="inlineStr">
        <is>
          <t>Placa-mãe</t>
        </is>
      </c>
      <c r="B4" s="10" t="inlineStr">
        <is>
          <t>MB</t>
        </is>
      </c>
      <c r="C4" s="10" t="inlineStr">
        <is>
          <t>MB-009</t>
        </is>
      </c>
      <c r="D4" s="10" t="inlineStr">
        <is>
          <t>Cada unidade física recebe código próprio, mesmo sendo modelo repetido.</t>
        </is>
      </c>
      <c r="E4" s="10" t="inlineStr">
        <is>
          <t>Fabricante, modelo, revisão, estado, fotos.</t>
        </is>
      </c>
      <c r="F4" s="11" t="inlineStr">
        <is>
          <t>Nunca reutilizar código de item baixado.</t>
        </is>
      </c>
    </row>
    <row r="5">
      <c r="A5" s="16" t="inlineStr">
        <is>
          <t>Placa de vídeo</t>
        </is>
      </c>
      <c r="B5" s="10" t="inlineStr">
        <is>
          <t>VG</t>
        </is>
      </c>
      <c r="C5" s="10" t="inlineStr">
        <is>
          <t>VG-003</t>
        </is>
      </c>
      <c r="D5" s="10" t="inlineStr">
        <is>
          <t>Cada placa física recebe código próprio.</t>
        </is>
      </c>
      <c r="E5" s="10" t="inlineStr">
        <is>
          <t>Modelo, GPU, interface, memória, estado.</t>
        </is>
      </c>
      <c r="F5" s="11" t="inlineStr">
        <is>
          <t>Registrar perfil e saídas quando visíveis.</t>
        </is>
      </c>
    </row>
    <row r="6" ht="28.5" customHeight="1" s="8">
      <c r="A6" s="16" t="inlineStr">
        <is>
          <t>Processador</t>
        </is>
      </c>
      <c r="B6" s="10" t="inlineStr">
        <is>
          <t>CPU</t>
        </is>
      </c>
      <c r="C6" s="10" t="inlineStr">
        <is>
          <t>CPU-006</t>
        </is>
      </c>
      <c r="D6" s="10" t="inlineStr">
        <is>
          <t>Quando o processador puder ser identificado individualmente.</t>
        </is>
      </c>
      <c r="E6" s="10" t="inlineStr">
        <is>
          <t>Modelo, socket/BGA, clock, placa associada.</t>
        </is>
      </c>
      <c r="F6" s="11" t="inlineStr">
        <is>
          <t>CPU soldada pode permanecer associada à placa.</t>
        </is>
      </c>
    </row>
    <row r="7" ht="28.5" customHeight="1" s="8">
      <c r="A7" s="16" t="inlineStr">
        <is>
          <t>Memória</t>
        </is>
      </c>
      <c r="B7" s="10" t="inlineStr">
        <is>
          <t>RAM</t>
        </is>
      </c>
      <c r="C7" s="10" t="inlineStr">
        <is>
          <t>RAM-008</t>
        </is>
      </c>
      <c r="D7" s="10" t="inlineStr">
        <is>
          <t>Cada módulo físico deve receber código próprio.</t>
        </is>
      </c>
      <c r="E7" s="10" t="inlineStr">
        <is>
          <t>Fabricante, capacidade, tipo, frequência, placa associada.</t>
        </is>
      </c>
      <c r="F7" s="11" t="inlineStr">
        <is>
          <t>Usar part number e serial quando disponíveis.</t>
        </is>
      </c>
    </row>
    <row r="8" ht="28.5" customHeight="1" s="8">
      <c r="A8" s="16" t="inlineStr">
        <is>
          <t>Teste</t>
        </is>
      </c>
      <c r="B8" s="10" t="inlineStr">
        <is>
          <t>TEST</t>
        </is>
      </c>
      <c r="C8" s="10" t="inlineStr">
        <is>
          <t>TEST-006</t>
        </is>
      </c>
      <c r="D8" s="10" t="inlineStr">
        <is>
          <t>Cada sessão de diagnóstico ou validação relevante.</t>
        </is>
      </c>
      <c r="E8" s="10" t="inlineStr">
        <is>
          <t>Item, data, cenário, resultado e conclusão.</t>
        </is>
      </c>
      <c r="F8" s="11" t="inlineStr">
        <is>
          <t>Não sobrescrever testes anteriores.</t>
        </is>
      </c>
    </row>
    <row r="9" ht="28.5" customHeight="1" s="8">
      <c r="A9" s="16" t="inlineStr">
        <is>
          <t>Estado</t>
        </is>
      </c>
      <c r="B9" s="10" t="n"/>
      <c r="C9" s="10" t="n"/>
      <c r="D9" s="10" t="inlineStr">
        <is>
          <t>Valores padronizados</t>
        </is>
      </c>
      <c r="E9" s="10" t="inlineStr">
        <is>
          <t>Funcionando; Liga, sem vídeo; Não testada; Em diagnóstico; Necessita reparo; Baixada.</t>
        </is>
      </c>
      <c r="F9" s="11" t="inlineStr">
        <is>
          <t>Selecionar pelas listas suspensas.</t>
        </is>
      </c>
    </row>
    <row r="10" ht="28.5" customHeight="1" s="8">
      <c r="A10" s="16" t="inlineStr">
        <is>
          <t>Fonte de evidência</t>
        </is>
      </c>
      <c r="B10" s="10" t="n"/>
      <c r="C10" s="10" t="n"/>
      <c r="D10" s="10" t="inlineStr">
        <is>
          <t>Indicar anexos, software ou cadastro anterior.</t>
        </is>
      </c>
      <c r="E10" s="10" t="inlineStr">
        <is>
          <t>Ex.: Anexos 31–33; HWiNFO; CPU-Z.</t>
        </is>
      </c>
      <c r="F10" s="11" t="inlineStr">
        <is>
          <t>Campos não comprovados devem ficar como “Não confirmado”.</t>
        </is>
      </c>
    </row>
    <row r="11" ht="28.5" customHeight="1" s="8">
      <c r="A11" s="16" t="inlineStr">
        <is>
          <t>Fotos</t>
        </is>
      </c>
      <c r="B11" s="10" t="n"/>
      <c r="C11" s="10" t="n"/>
      <c r="D11" s="10" t="inlineStr">
        <is>
          <t>Registrar referência de anexos ou caminho futuro.</t>
        </is>
      </c>
      <c r="E11" s="10" t="inlineStr">
        <is>
          <t>Frente, verso, etiquetas, tela do HWiNFO/CPU-Z.</t>
        </is>
      </c>
      <c r="F11" s="11" t="inlineStr">
        <is>
          <t>O índice de fotos liga cada imagem ao item.</t>
        </is>
      </c>
    </row>
    <row r="12" ht="28.5" customHeight="1" s="8">
      <c r="A12" s="17" t="inlineStr">
        <is>
          <t>Aquisição</t>
        </is>
      </c>
      <c r="B12" s="13" t="n"/>
      <c r="C12" s="13" t="n"/>
      <c r="D12" s="13" t="inlineStr">
        <is>
          <t>Preencher quando conhecido.</t>
        </is>
      </c>
      <c r="E12" s="13" t="inlineStr">
        <is>
          <t>Data, procedência, valor pago e localização física.</t>
        </is>
      </c>
      <c r="F12" s="14" t="inlineStr">
        <is>
          <t>Esses campos podem ser adicionados em versão futura sem alterar códigos.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25"/>
  <cols>
    <col width="22" customWidth="1" style="8" min="1" max="1"/>
    <col width="24" customWidth="1" style="8" min="3" max="3"/>
  </cols>
  <sheetData>
    <row r="1" ht="15" customHeight="1" s="8">
      <c r="A1" s="1" t="inlineStr">
        <is>
          <t>Estados</t>
        </is>
      </c>
      <c r="C1" s="1" t="inlineStr">
        <is>
          <t>Resultados de teste</t>
        </is>
      </c>
    </row>
    <row r="2">
      <c r="A2" t="inlineStr">
        <is>
          <t>Funcionando</t>
        </is>
      </c>
      <c r="C2" t="inlineStr">
        <is>
          <t>Aprovado</t>
        </is>
      </c>
    </row>
    <row r="3">
      <c r="A3" t="inlineStr">
        <is>
          <t>Liga, sem vídeo</t>
        </is>
      </c>
      <c r="C3" t="inlineStr">
        <is>
          <t>Reprovado</t>
        </is>
      </c>
    </row>
    <row r="4">
      <c r="A4" t="inlineStr">
        <is>
          <t>Não testada</t>
        </is>
      </c>
      <c r="C4" t="inlineStr">
        <is>
          <t>Pendente diagnóstico</t>
        </is>
      </c>
    </row>
    <row r="5">
      <c r="A5" t="inlineStr">
        <is>
          <t>Em diagnóstico</t>
        </is>
      </c>
      <c r="C5" t="inlineStr">
        <is>
          <t>Inconclusivo</t>
        </is>
      </c>
    </row>
    <row r="6">
      <c r="A6" t="inlineStr">
        <is>
          <t>Necessita reparo</t>
        </is>
      </c>
    </row>
    <row r="7">
      <c r="A7" t="inlineStr">
        <is>
          <t>Baixada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2026-07-26T15:15:26Z</dcterms:created>
  <dcterms:modified xmlns:dcterms="http://purl.org/dc/terms/" xmlns:xsi="http://www.w3.org/2001/XMLSchema-instance" xsi:type="dcterms:W3CDTF">2026-07-26T23:09:49Z</dcterms:modified>
  <cp:lastModifiedBy>Laerte Peotta de Melo</cp:lastModifiedBy>
</cp:coreProperties>
</file>